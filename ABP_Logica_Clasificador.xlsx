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iDataset" sheetId="1" state="visible" r:id="rId3"/>
    <sheet name="Clasificador" sheetId="2" state="visible" r:id="rId4"/>
    <sheet name="Validación lógic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Criterio del ABP, punto 1.1: tasa de superficie no cosechada &gt; 20 %.</t>
        </r>
      </text>
    </comment>
    <comment ref="O3" authorId="0">
      <text>
        <r>
          <rPr>
            <sz val="10"/>
            <rFont val="Arial"/>
            <family val="2"/>
          </rPr>
          <t xml:space="preserve">Criterio del ABP, punto 1.3: 3 o más caídas consecutivas.</t>
        </r>
      </text>
    </comment>
  </commentList>
</comments>
</file>

<file path=xl/sharedStrings.xml><?xml version="1.0" encoding="utf-8"?>
<sst xmlns="http://schemas.openxmlformats.org/spreadsheetml/2006/main" count="129" uniqueCount="59">
  <si>
    <t xml:space="preserve">Región</t>
  </si>
  <si>
    <t xml:space="preserve">Cultivo</t>
  </si>
  <si>
    <t xml:space="preserve">Campaña</t>
  </si>
  <si>
    <t xml:space="preserve">Sup. sembrada (ha)</t>
  </si>
  <si>
    <t xml:space="preserve">Sup. cosechada (ha)</t>
  </si>
  <si>
    <t xml:space="preserve">Producción (tm)</t>
  </si>
  <si>
    <t xml:space="preserve">Rendimiento regional (kg/ha)</t>
  </si>
  <si>
    <t xml:space="preserve">Rendimiento nacional (kg/ha)</t>
  </si>
  <si>
    <t xml:space="preserve">Fuente y notas</t>
  </si>
  <si>
    <t xml:space="preserve">Cuyo</t>
  </si>
  <si>
    <t xml:space="preserve">avena</t>
  </si>
  <si>
    <t xml:space="preserve">2015/2016</t>
  </si>
  <si>
    <t xml:space="preserve">Recorte de datos reales del dataset "Estimaciones agrícolas" (Datos Argentina), archivo Grilla_logica_.csv.</t>
  </si>
  <si>
    <t xml:space="preserve">2017/2018</t>
  </si>
  <si>
    <t xml:space="preserve">Texto azul = datos de entrada (no se modifican por fórmula).</t>
  </si>
  <si>
    <t xml:space="preserve">2018/2019</t>
  </si>
  <si>
    <t xml:space="preserve">Las filas están ordenadas por cultivo/región y campaña cronológica: el Clasificador compara cada fila con la inmediata anterior de la misma serie.</t>
  </si>
  <si>
    <t xml:space="preserve">2019/2020</t>
  </si>
  <si>
    <t xml:space="preserve">Las campañas son las disponibles en la serie (p. ej. 2015/2016 → 2017/2018 se consideran consecutivas).</t>
  </si>
  <si>
    <t xml:space="preserve">2020/2021</t>
  </si>
  <si>
    <t xml:space="preserve">2021/2022</t>
  </si>
  <si>
    <t xml:space="preserve">2022/2023</t>
  </si>
  <si>
    <t xml:space="preserve">2023/2024</t>
  </si>
  <si>
    <t xml:space="preserve">2024/2025</t>
  </si>
  <si>
    <t xml:space="preserve">NOA</t>
  </si>
  <si>
    <t xml:space="preserve">lenteja</t>
  </si>
  <si>
    <t xml:space="preserve">Tasa no cosechada</t>
  </si>
  <si>
    <t xml:space="preserve">P</t>
  </si>
  <si>
    <t xml:space="preserve">Q</t>
  </si>
  <si>
    <t xml:space="preserve">Caída producción</t>
  </si>
  <si>
    <t xml:space="preserve">Racha caídas</t>
  </si>
  <si>
    <t xml:space="preserve">R</t>
  </si>
  <si>
    <t xml:space="preserve">Foco crítico</t>
  </si>
  <si>
    <t xml:space="preserve">Explicación</t>
  </si>
  <si>
    <t xml:space="preserve">Incidencia de la caída</t>
  </si>
  <si>
    <t xml:space="preserve">Parámetros</t>
  </si>
  <si>
    <t xml:space="preserve">Umbral P (tasa no cosechada &gt;)</t>
  </si>
  <si>
    <t xml:space="preserve">Racha mínima R (caídas consecutivas ≥)</t>
  </si>
  <si>
    <t xml:space="preserve">Fórmulas: P = tasa &gt; umbral · Q = rend. regional &lt; nacional · R = racha ≥ 3 · F = (P∧Q)∨(P∧R)∨(Q∧R)</t>
  </si>
  <si>
    <t xml:space="preserve">Validación lógica: tabla de verdad vs. casos reales del dataset</t>
  </si>
  <si>
    <t xml:space="preserve">Regla: F = (P ∧ Q) ∨ (P ∧ R) ∨ (Q ∧ R). Texto azul = datos de entrada.</t>
  </si>
  <si>
    <t xml:space="preserve">F esperado</t>
  </si>
  <si>
    <t xml:space="preserve">Fila en Clasificador</t>
  </si>
  <si>
    <t xml:space="preserve">P obtenido</t>
  </si>
  <si>
    <t xml:space="preserve">Q obtenido</t>
  </si>
  <si>
    <t xml:space="preserve">R obtenido</t>
  </si>
  <si>
    <t xml:space="preserve">F obtenido</t>
  </si>
  <si>
    <t xml:space="preserve">¿Coincide?</t>
  </si>
  <si>
    <t xml:space="preserve">Resultado:</t>
  </si>
  <si>
    <t xml:space="preserve">Control cruzado: las 15 filas del Clasificador vs. columnas P_BD, Q_BD, R_BD y foco_critico_esperado del CSV original</t>
  </si>
  <si>
    <t xml:space="preserve">P (Excel)</t>
  </si>
  <si>
    <t xml:space="preserve">Q (Excel)</t>
  </si>
  <si>
    <t xml:space="preserve">R (Excel)</t>
  </si>
  <si>
    <t xml:space="preserve">F (Excel)</t>
  </si>
  <si>
    <t xml:space="preserve">P (CSV)</t>
  </si>
  <si>
    <t xml:space="preserve">Q (CSV)</t>
  </si>
  <si>
    <t xml:space="preserve">R (CSV)</t>
  </si>
  <si>
    <t xml:space="preserve">F esperado (CSV)</t>
  </si>
  <si>
    <t xml:space="preserve">Nota: los valores (CSV) son SI/NO del archivo original, convertidos a VERDADERO/FALSO.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</si>
</sst>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%"/>
    <numFmt numFmtId="167" formatCode="General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8" min="7" style="0" width="20"/>
    <col collapsed="false" customWidth="true" hidden="false" outlineLevel="0" max="10" min="10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4" t="n">
        <v>17550</v>
      </c>
      <c r="E2" s="4" t="n">
        <v>2200</v>
      </c>
      <c r="F2" s="4" t="n">
        <v>6320</v>
      </c>
      <c r="G2" s="4" t="n">
        <v>2872.73</v>
      </c>
      <c r="H2" s="4" t="n">
        <v>2309.44</v>
      </c>
      <c r="J2" s="5" t="s">
        <v>12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13</v>
      </c>
      <c r="D3" s="4" t="n">
        <v>19480</v>
      </c>
      <c r="E3" s="4" t="n">
        <v>1830</v>
      </c>
      <c r="F3" s="4" t="n">
        <v>4105</v>
      </c>
      <c r="G3" s="4" t="n">
        <v>2243.17</v>
      </c>
      <c r="H3" s="4" t="n">
        <v>2251.44</v>
      </c>
      <c r="J3" s="5" t="s">
        <v>14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15</v>
      </c>
      <c r="D4" s="4" t="n">
        <v>15400</v>
      </c>
      <c r="E4" s="4" t="n">
        <v>2100</v>
      </c>
      <c r="F4" s="4" t="n">
        <v>2560</v>
      </c>
      <c r="G4" s="4" t="n">
        <v>1219.05</v>
      </c>
      <c r="H4" s="4" t="n">
        <v>2400.13</v>
      </c>
      <c r="J4" s="5" t="s">
        <v>16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17</v>
      </c>
      <c r="D5" s="4" t="n">
        <v>16160</v>
      </c>
      <c r="E5" s="4" t="n">
        <v>750</v>
      </c>
      <c r="F5" s="4" t="n">
        <v>1520</v>
      </c>
      <c r="G5" s="4" t="n">
        <v>2026.67</v>
      </c>
      <c r="H5" s="4" t="n">
        <v>1861.78</v>
      </c>
      <c r="J5" s="5" t="s">
        <v>18</v>
      </c>
    </row>
    <row r="6" customFormat="false" ht="15" hidden="false" customHeight="false" outlineLevel="0" collapsed="false">
      <c r="A6" s="3" t="s">
        <v>9</v>
      </c>
      <c r="B6" s="3" t="s">
        <v>10</v>
      </c>
      <c r="C6" s="3" t="s">
        <v>19</v>
      </c>
      <c r="D6" s="4" t="n">
        <v>14200</v>
      </c>
      <c r="E6" s="4" t="n">
        <v>1450</v>
      </c>
      <c r="F6" s="4" t="n">
        <v>1220</v>
      </c>
      <c r="G6" s="4" t="n">
        <v>841.38</v>
      </c>
      <c r="H6" s="4" t="n">
        <v>2094.53</v>
      </c>
    </row>
    <row r="7" customFormat="false" ht="15" hidden="false" customHeight="false" outlineLevel="0" collapsed="false">
      <c r="A7" s="3" t="s">
        <v>9</v>
      </c>
      <c r="B7" s="3" t="s">
        <v>10</v>
      </c>
      <c r="C7" s="3" t="s">
        <v>20</v>
      </c>
      <c r="D7" s="4" t="n">
        <v>15400</v>
      </c>
      <c r="E7" s="4" t="n">
        <v>1250</v>
      </c>
      <c r="F7" s="4" t="n">
        <v>2310</v>
      </c>
      <c r="G7" s="4" t="n">
        <v>1848</v>
      </c>
      <c r="H7" s="4" t="n">
        <v>2073.05</v>
      </c>
    </row>
    <row r="8" customFormat="false" ht="15" hidden="false" customHeight="false" outlineLevel="0" collapsed="false">
      <c r="A8" s="3" t="s">
        <v>9</v>
      </c>
      <c r="B8" s="3" t="s">
        <v>10</v>
      </c>
      <c r="C8" s="3" t="s">
        <v>21</v>
      </c>
      <c r="D8" s="4" t="n">
        <v>16300</v>
      </c>
      <c r="E8" s="4" t="n">
        <v>800</v>
      </c>
      <c r="F8" s="4" t="n">
        <v>1215</v>
      </c>
      <c r="G8" s="4" t="n">
        <v>1518.75</v>
      </c>
      <c r="H8" s="4" t="n">
        <v>1666.47</v>
      </c>
    </row>
    <row r="9" customFormat="false" ht="15" hidden="false" customHeight="false" outlineLevel="0" collapsed="false">
      <c r="A9" s="3" t="s">
        <v>9</v>
      </c>
      <c r="B9" s="3" t="s">
        <v>10</v>
      </c>
      <c r="C9" s="3" t="s">
        <v>22</v>
      </c>
      <c r="D9" s="4" t="n">
        <v>16000</v>
      </c>
      <c r="E9" s="4" t="n">
        <v>2150</v>
      </c>
      <c r="F9" s="4" t="n">
        <v>2880</v>
      </c>
      <c r="G9" s="4" t="n">
        <v>1339.53</v>
      </c>
      <c r="H9" s="4" t="n">
        <v>2035.55</v>
      </c>
    </row>
    <row r="10" customFormat="false" ht="15" hidden="false" customHeight="false" outlineLevel="0" collapsed="false">
      <c r="A10" s="3" t="s">
        <v>9</v>
      </c>
      <c r="B10" s="3" t="s">
        <v>10</v>
      </c>
      <c r="C10" s="3" t="s">
        <v>23</v>
      </c>
      <c r="D10" s="4" t="n">
        <v>16500</v>
      </c>
      <c r="E10" s="4" t="n">
        <v>1550</v>
      </c>
      <c r="F10" s="4" t="n">
        <v>2100</v>
      </c>
      <c r="G10" s="4" t="n">
        <v>1354.84</v>
      </c>
      <c r="H10" s="4" t="n">
        <v>1874.48</v>
      </c>
    </row>
    <row r="11" customFormat="false" ht="15" hidden="false" customHeight="false" outlineLevel="0" collapsed="false">
      <c r="A11" s="3" t="s">
        <v>24</v>
      </c>
      <c r="B11" s="3" t="s">
        <v>25</v>
      </c>
      <c r="C11" s="3" t="s">
        <v>17</v>
      </c>
      <c r="D11" s="4" t="n">
        <v>1350</v>
      </c>
      <c r="E11" s="4" t="n">
        <v>1350</v>
      </c>
      <c r="F11" s="4" t="n">
        <v>2025</v>
      </c>
      <c r="G11" s="4" t="n">
        <v>1500</v>
      </c>
      <c r="H11" s="4" t="n">
        <v>1047.71</v>
      </c>
    </row>
    <row r="12" customFormat="false" ht="15" hidden="false" customHeight="false" outlineLevel="0" collapsed="false">
      <c r="A12" s="3" t="s">
        <v>24</v>
      </c>
      <c r="B12" s="3" t="s">
        <v>25</v>
      </c>
      <c r="C12" s="3" t="s">
        <v>19</v>
      </c>
      <c r="D12" s="4" t="n">
        <v>1590</v>
      </c>
      <c r="E12" s="4" t="n">
        <v>1520</v>
      </c>
      <c r="F12" s="4" t="n">
        <v>1038</v>
      </c>
      <c r="G12" s="4" t="n">
        <v>682.89</v>
      </c>
      <c r="H12" s="4" t="n">
        <v>716.38</v>
      </c>
    </row>
    <row r="13" customFormat="false" ht="15" hidden="false" customHeight="false" outlineLevel="0" collapsed="false">
      <c r="A13" s="3" t="s">
        <v>24</v>
      </c>
      <c r="B13" s="3" t="s">
        <v>25</v>
      </c>
      <c r="C13" s="3" t="s">
        <v>20</v>
      </c>
      <c r="D13" s="4" t="n">
        <v>795</v>
      </c>
      <c r="E13" s="4" t="n">
        <v>795</v>
      </c>
      <c r="F13" s="4" t="n">
        <v>485</v>
      </c>
      <c r="G13" s="4" t="n">
        <v>610.06</v>
      </c>
      <c r="H13" s="4" t="n">
        <v>1787.57</v>
      </c>
    </row>
    <row r="14" customFormat="false" ht="15" hidden="false" customHeight="false" outlineLevel="0" collapsed="false">
      <c r="A14" s="3" t="s">
        <v>24</v>
      </c>
      <c r="B14" s="3" t="s">
        <v>25</v>
      </c>
      <c r="C14" s="3" t="s">
        <v>21</v>
      </c>
      <c r="D14" s="4" t="n">
        <v>675</v>
      </c>
      <c r="E14" s="4" t="n">
        <v>675</v>
      </c>
      <c r="F14" s="4" t="n">
        <v>473</v>
      </c>
      <c r="G14" s="4" t="n">
        <v>700.74</v>
      </c>
      <c r="H14" s="4" t="n">
        <v>433.11</v>
      </c>
    </row>
    <row r="15" customFormat="false" ht="15" hidden="false" customHeight="false" outlineLevel="0" collapsed="false">
      <c r="A15" s="3" t="s">
        <v>24</v>
      </c>
      <c r="B15" s="3" t="s">
        <v>25</v>
      </c>
      <c r="C15" s="3" t="s">
        <v>22</v>
      </c>
      <c r="D15" s="4" t="n">
        <v>445</v>
      </c>
      <c r="E15" s="4" t="n">
        <v>445</v>
      </c>
      <c r="F15" s="4" t="n">
        <v>326</v>
      </c>
      <c r="G15" s="4" t="n">
        <v>732.58</v>
      </c>
      <c r="H15" s="4" t="n">
        <v>1019.6</v>
      </c>
    </row>
    <row r="16" customFormat="false" ht="15" hidden="false" customHeight="false" outlineLevel="0" collapsed="false">
      <c r="A16" s="3" t="s">
        <v>24</v>
      </c>
      <c r="B16" s="3" t="s">
        <v>25</v>
      </c>
      <c r="C16" s="3" t="s">
        <v>23</v>
      </c>
      <c r="D16" s="4" t="n">
        <v>698</v>
      </c>
      <c r="E16" s="4" t="n">
        <v>698</v>
      </c>
      <c r="F16" s="4" t="n">
        <v>456</v>
      </c>
      <c r="G16" s="4" t="n">
        <v>653.3</v>
      </c>
      <c r="H16" s="4" t="n">
        <v>977.61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78"/>
    <col collapsed="false" customWidth="true" hidden="false" outlineLevel="0" max="12" min="12" style="0" width="30"/>
    <col collapsed="false" customWidth="true" hidden="false" outlineLevel="0" max="14" min="14" style="0" width="3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N1" s="2" t="s">
        <v>35</v>
      </c>
    </row>
    <row r="2" customFormat="false" ht="15" hidden="false" customHeight="false" outlineLevel="0" collapsed="false">
      <c r="A2" s="6" t="str">
        <f aca="false">MiniDataset!A2</f>
        <v>Cuyo</v>
      </c>
      <c r="B2" s="6" t="str">
        <f aca="false">MiniDataset!B2</f>
        <v>avena</v>
      </c>
      <c r="C2" s="6" t="str">
        <f aca="false">MiniDataset!C2</f>
        <v>2015/2016</v>
      </c>
      <c r="D2" s="7" t="n">
        <f aca="false">IF(MiniDataset!D2&gt;0,(MiniDataset!D2-MiniDataset!E2)/MiniDataset!D2,0)</f>
        <v>0.874643874643875</v>
      </c>
      <c r="E2" s="8" t="b">
        <f aca="false">D2&gt;$O$2</f>
        <v>1</v>
      </c>
      <c r="F2" s="8" t="b">
        <f aca="false">MiniDataset!G2&lt;MiniDataset!H2</f>
        <v>0</v>
      </c>
      <c r="G2" s="8" t="b">
        <f aca="false">AND(MiniDataset!A1=MiniDataset!A2,MiniDataset!B1=MiniDataset!B2,MiniDataset!F2&lt;MiniDataset!F1)</f>
        <v>0</v>
      </c>
      <c r="H2" s="9" t="n">
        <f aca="false">IF(G2,H1+1,0)</f>
        <v>0</v>
      </c>
      <c r="I2" s="8" t="b">
        <f aca="false">H2&gt;=$O$3</f>
        <v>0</v>
      </c>
      <c r="J2" s="8" t="b">
        <f aca="false">OR(AND(E2,F2),AND(E2,I2),AND(F2,I2))</f>
        <v>0</v>
      </c>
      <c r="K2" s="9" t="str">
        <f aca="false">"P="&amp;IF(E2,"V","F")&amp;", Q="&amp;IF(F2,"V","F")&amp;", R="&amp;IF(I2,"V","F")&amp;" → "&amp;IF(J2,"FOCO CRÍTICO: se cumplen "&amp;_xlfn.TEXTJOIN(" y ",TRUE(),IF(E2,"P (superficie no cosechada &gt; "&amp;TEXT($O$2,"0%")&amp;")",""),IF(F2,"Q (rendimiento &lt; nacional)",""),IF(I2,"R ("&amp;H2&amp;" caídas consecutivas de producción)",""))&amp;".","No es foco crítico: "&amp;IF(E2+F2+I2=0,"no se cumple ninguna condición desfavorable.","solo se cumple "&amp;_xlfn.TEXTJOIN("",TRUE(),IF(E2,"P (superficie no cosechada)",""),IF(F2,"Q (rendimiento &lt; nacional)",""),IF(I2,"R (caídas consecutivas)",""))&amp;"."))</f>
        <v>P=V, Q=F, R=F → No es foco crítico: solo se cumple P (superficie no cosechada).</v>
      </c>
      <c r="L2" s="9" t="str">
        <f aca="false">IF(NOT(G2),"—",IF(AND(MiniDataset!E2&lt;MiniDataset!E1,MiniDataset!G2&lt;MiniDataset!G1),"Ambas (superficie y rendimiento)",IF(MiniDataset!E2&lt;MiniDataset!E1,"Superficie cosechada",IF(MiniDataset!G2&lt;MiniDataset!G1,"Rendimiento","Indeterminada"))))</f>
        <v>—</v>
      </c>
      <c r="N2" s="5" t="s">
        <v>36</v>
      </c>
      <c r="O2" s="10" t="n">
        <v>0.2</v>
      </c>
    </row>
    <row r="3" customFormat="false" ht="15" hidden="false" customHeight="false" outlineLevel="0" collapsed="false">
      <c r="A3" s="6" t="str">
        <f aca="false">MiniDataset!A3</f>
        <v>Cuyo</v>
      </c>
      <c r="B3" s="6" t="str">
        <f aca="false">MiniDataset!B3</f>
        <v>avena</v>
      </c>
      <c r="C3" s="6" t="str">
        <f aca="false">MiniDataset!C3</f>
        <v>2017/2018</v>
      </c>
      <c r="D3" s="7" t="n">
        <f aca="false">IF(MiniDataset!D3&gt;0,(MiniDataset!D3-MiniDataset!E3)/MiniDataset!D3,0)</f>
        <v>0.90605749486653</v>
      </c>
      <c r="E3" s="8" t="b">
        <f aca="false">D3&gt;$O$2</f>
        <v>1</v>
      </c>
      <c r="F3" s="8" t="b">
        <f aca="false">MiniDataset!G3&lt;MiniDataset!H3</f>
        <v>1</v>
      </c>
      <c r="G3" s="8" t="b">
        <f aca="false">AND(MiniDataset!A2=MiniDataset!A3,MiniDataset!B2=MiniDataset!B3,MiniDataset!F3&lt;MiniDataset!F2)</f>
        <v>1</v>
      </c>
      <c r="H3" s="9" t="n">
        <f aca="false">IF(G3,H2+1,0)</f>
        <v>1</v>
      </c>
      <c r="I3" s="8" t="b">
        <f aca="false">H3&gt;=$O$3</f>
        <v>0</v>
      </c>
      <c r="J3" s="8" t="b">
        <f aca="false">OR(AND(E3,F3),AND(E3,I3),AND(F3,I3))</f>
        <v>1</v>
      </c>
      <c r="K3" s="9" t="str">
        <f aca="false">"P="&amp;IF(E3,"V","F")&amp;", Q="&amp;IF(F3,"V","F")&amp;", R="&amp;IF(I3,"V","F")&amp;" → "&amp;IF(J3,"FOCO CRÍTICO: se cumplen "&amp;_xlfn.TEXTJOIN(" y ",TRUE(),IF(E3,"P (superficie no cosechada &gt; "&amp;TEXT($O$2,"0%")&amp;")",""),IF(F3,"Q (rendimiento &lt; nacional)",""),IF(I3,"R ("&amp;H3&amp;" caídas consecutivas de producción)",""))&amp;".","No es foco crítico: "&amp;IF(E3+F3+I3=0,"no se cumple ninguna condición desfavorable.","solo se cumple "&amp;_xlfn.TEXTJOIN("",TRUE(),IF(E3,"P (superficie no cosechada)",""),IF(F3,"Q (rendimiento &lt; nacional)",""),IF(I3,"R (caídas consecutivas)",""))&amp;"."))</f>
        <v>P=V, Q=V, R=F → FOCO CRÍTICO: se cumplen P (superficie no cosechada &gt; 20%) y Q (rendimiento &lt; nacional).</v>
      </c>
      <c r="L3" s="9" t="str">
        <f aca="false">IF(NOT(G3),"—",IF(AND(MiniDataset!E3&lt;MiniDataset!E2,MiniDataset!G3&lt;MiniDataset!G2),"Ambas (superficie y rendimiento)",IF(MiniDataset!E3&lt;MiniDataset!E2,"Superficie cosechada",IF(MiniDataset!G3&lt;MiniDataset!G2,"Rendimiento","Indeterminada"))))</f>
        <v>Ambas (superficie y rendimiento)</v>
      </c>
      <c r="N3" s="5" t="s">
        <v>37</v>
      </c>
      <c r="O3" s="11" t="n">
        <v>3</v>
      </c>
    </row>
    <row r="4" customFormat="false" ht="15" hidden="false" customHeight="false" outlineLevel="0" collapsed="false">
      <c r="A4" s="6" t="str">
        <f aca="false">MiniDataset!A4</f>
        <v>Cuyo</v>
      </c>
      <c r="B4" s="6" t="str">
        <f aca="false">MiniDataset!B4</f>
        <v>avena</v>
      </c>
      <c r="C4" s="6" t="str">
        <f aca="false">MiniDataset!C4</f>
        <v>2018/2019</v>
      </c>
      <c r="D4" s="7" t="n">
        <f aca="false">IF(MiniDataset!D4&gt;0,(MiniDataset!D4-MiniDataset!E4)/MiniDataset!D4,0)</f>
        <v>0.863636363636364</v>
      </c>
      <c r="E4" s="8" t="b">
        <f aca="false">D4&gt;$O$2</f>
        <v>1</v>
      </c>
      <c r="F4" s="8" t="b">
        <f aca="false">MiniDataset!G4&lt;MiniDataset!H4</f>
        <v>1</v>
      </c>
      <c r="G4" s="8" t="b">
        <f aca="false">AND(MiniDataset!A3=MiniDataset!A4,MiniDataset!B3=MiniDataset!B4,MiniDataset!F4&lt;MiniDataset!F3)</f>
        <v>1</v>
      </c>
      <c r="H4" s="9" t="n">
        <f aca="false">IF(G4,H3+1,0)</f>
        <v>2</v>
      </c>
      <c r="I4" s="8" t="b">
        <f aca="false">H4&gt;=$O$3</f>
        <v>0</v>
      </c>
      <c r="J4" s="8" t="b">
        <f aca="false">OR(AND(E4,F4),AND(E4,I4),AND(F4,I4))</f>
        <v>1</v>
      </c>
      <c r="K4" s="9" t="str">
        <f aca="false">"P="&amp;IF(E4,"V","F")&amp;", Q="&amp;IF(F4,"V","F")&amp;", R="&amp;IF(I4,"V","F")&amp;" → "&amp;IF(J4,"FOCO CRÍTICO: se cumplen "&amp;_xlfn.TEXTJOIN(" y ",TRUE(),IF(E4,"P (superficie no cosechada &gt; "&amp;TEXT($O$2,"0%")&amp;")",""),IF(F4,"Q (rendimiento &lt; nacional)",""),IF(I4,"R ("&amp;H4&amp;" caídas consecutivas de producción)",""))&amp;".","No es foco crítico: "&amp;IF(E4+F4+I4=0,"no se cumple ninguna condición desfavorable.","solo se cumple "&amp;_xlfn.TEXTJOIN("",TRUE(),IF(E4,"P (superficie no cosechada)",""),IF(F4,"Q (rendimiento &lt; nacional)",""),IF(I4,"R (caídas consecutivas)",""))&amp;"."))</f>
        <v>P=V, Q=V, R=F → FOCO CRÍTICO: se cumplen P (superficie no cosechada &gt; 20%) y Q (rendimiento &lt; nacional).</v>
      </c>
      <c r="L4" s="9" t="str">
        <f aca="false">IF(NOT(G4),"—",IF(AND(MiniDataset!E4&lt;MiniDataset!E3,MiniDataset!G4&lt;MiniDataset!G3),"Ambas (superficie y rendimiento)",IF(MiniDataset!E4&lt;MiniDataset!E3,"Superficie cosechada",IF(MiniDataset!G4&lt;MiniDataset!G3,"Rendimiento","Indeterminada"))))</f>
        <v>Rendimiento</v>
      </c>
    </row>
    <row r="5" customFormat="false" ht="15" hidden="false" customHeight="false" outlineLevel="0" collapsed="false">
      <c r="A5" s="6" t="str">
        <f aca="false">MiniDataset!A5</f>
        <v>Cuyo</v>
      </c>
      <c r="B5" s="6" t="str">
        <f aca="false">MiniDataset!B5</f>
        <v>avena</v>
      </c>
      <c r="C5" s="6" t="str">
        <f aca="false">MiniDataset!C5</f>
        <v>2019/2020</v>
      </c>
      <c r="D5" s="7" t="n">
        <f aca="false">IF(MiniDataset!D5&gt;0,(MiniDataset!D5-MiniDataset!E5)/MiniDataset!D5,0)</f>
        <v>0.953589108910891</v>
      </c>
      <c r="E5" s="8" t="b">
        <f aca="false">D5&gt;$O$2</f>
        <v>1</v>
      </c>
      <c r="F5" s="8" t="b">
        <f aca="false">MiniDataset!G5&lt;MiniDataset!H5</f>
        <v>0</v>
      </c>
      <c r="G5" s="8" t="b">
        <f aca="false">AND(MiniDataset!A4=MiniDataset!A5,MiniDataset!B4=MiniDataset!B5,MiniDataset!F5&lt;MiniDataset!F4)</f>
        <v>1</v>
      </c>
      <c r="H5" s="9" t="n">
        <f aca="false">IF(G5,H4+1,0)</f>
        <v>3</v>
      </c>
      <c r="I5" s="8" t="b">
        <f aca="false">H5&gt;=$O$3</f>
        <v>1</v>
      </c>
      <c r="J5" s="8" t="b">
        <f aca="false">OR(AND(E5,F5),AND(E5,I5),AND(F5,I5))</f>
        <v>1</v>
      </c>
      <c r="K5" s="9" t="str">
        <f aca="false">"P="&amp;IF(E5,"V","F")&amp;", Q="&amp;IF(F5,"V","F")&amp;", R="&amp;IF(I5,"V","F")&amp;" → "&amp;IF(J5,"FOCO CRÍTICO: se cumplen "&amp;_xlfn.TEXTJOIN(" y ",TRUE(),IF(E5,"P (superficie no cosechada &gt; "&amp;TEXT($O$2,"0%")&amp;")",""),IF(F5,"Q (rendimiento &lt; nacional)",""),IF(I5,"R ("&amp;H5&amp;" caídas consecutivas de producción)",""))&amp;".","No es foco crítico: "&amp;IF(E5+F5+I5=0,"no se cumple ninguna condición desfavorable.","solo se cumple "&amp;_xlfn.TEXTJOIN("",TRUE(),IF(E5,"P (superficie no cosechada)",""),IF(F5,"Q (rendimiento &lt; nacional)",""),IF(I5,"R (caídas consecutivas)",""))&amp;"."))</f>
        <v>P=V, Q=F, R=V → FOCO CRÍTICO: se cumplen P (superficie no cosechada &gt; 20%) y R (3 caídas consecutivas de producción).</v>
      </c>
      <c r="L5" s="9" t="str">
        <f aca="false">IF(NOT(G5),"—",IF(AND(MiniDataset!E5&lt;MiniDataset!E4,MiniDataset!G5&lt;MiniDataset!G4),"Ambas (superficie y rendimiento)",IF(MiniDataset!E5&lt;MiniDataset!E4,"Superficie cosechada",IF(MiniDataset!G5&lt;MiniDataset!G4,"Rendimiento","Indeterminada"))))</f>
        <v>Superficie cosechada</v>
      </c>
      <c r="N5" s="12" t="s">
        <v>38</v>
      </c>
    </row>
    <row r="6" customFormat="false" ht="15" hidden="false" customHeight="false" outlineLevel="0" collapsed="false">
      <c r="A6" s="6" t="str">
        <f aca="false">MiniDataset!A6</f>
        <v>Cuyo</v>
      </c>
      <c r="B6" s="6" t="str">
        <f aca="false">MiniDataset!B6</f>
        <v>avena</v>
      </c>
      <c r="C6" s="6" t="str">
        <f aca="false">MiniDataset!C6</f>
        <v>2020/2021</v>
      </c>
      <c r="D6" s="7" t="n">
        <f aca="false">IF(MiniDataset!D6&gt;0,(MiniDataset!D6-MiniDataset!E6)/MiniDataset!D6,0)</f>
        <v>0.897887323943662</v>
      </c>
      <c r="E6" s="8" t="b">
        <f aca="false">D6&gt;$O$2</f>
        <v>1</v>
      </c>
      <c r="F6" s="8" t="b">
        <f aca="false">MiniDataset!G6&lt;MiniDataset!H6</f>
        <v>1</v>
      </c>
      <c r="G6" s="8" t="b">
        <f aca="false">AND(MiniDataset!A5=MiniDataset!A6,MiniDataset!B5=MiniDataset!B6,MiniDataset!F6&lt;MiniDataset!F5)</f>
        <v>1</v>
      </c>
      <c r="H6" s="9" t="n">
        <f aca="false">IF(G6,H5+1,0)</f>
        <v>4</v>
      </c>
      <c r="I6" s="8" t="b">
        <f aca="false">H6&gt;=$O$3</f>
        <v>1</v>
      </c>
      <c r="J6" s="8" t="b">
        <f aca="false">OR(AND(E6,F6),AND(E6,I6),AND(F6,I6))</f>
        <v>1</v>
      </c>
      <c r="K6" s="9" t="str">
        <f aca="false">"P="&amp;IF(E6,"V","F")&amp;", Q="&amp;IF(F6,"V","F")&amp;", R="&amp;IF(I6,"V","F")&amp;" → "&amp;IF(J6,"FOCO CRÍTICO: se cumplen "&amp;_xlfn.TEXTJOIN(" y ",TRUE(),IF(E6,"P (superficie no cosechada &gt; "&amp;TEXT($O$2,"0%")&amp;")",""),IF(F6,"Q (rendimiento &lt; nacional)",""),IF(I6,"R ("&amp;H6&amp;" caídas consecutivas de producción)",""))&amp;".","No es foco crítico: "&amp;IF(E6+F6+I6=0,"no se cumple ninguna condición desfavorable.","solo se cumple "&amp;_xlfn.TEXTJOIN("",TRUE(),IF(E6,"P (superficie no cosechada)",""),IF(F6,"Q (rendimiento &lt; nacional)",""),IF(I6,"R (caídas consecutivas)",""))&amp;"."))</f>
        <v>P=V, Q=V, R=V → FOCO CRÍTICO: se cumplen P (superficie no cosechada &gt; 20%) y Q (rendimiento &lt; nacional) y R (4 caídas consecutivas de producción).</v>
      </c>
      <c r="L6" s="9" t="str">
        <f aca="false">IF(NOT(G6),"—",IF(AND(MiniDataset!E6&lt;MiniDataset!E5,MiniDataset!G6&lt;MiniDataset!G5),"Ambas (superficie y rendimiento)",IF(MiniDataset!E6&lt;MiniDataset!E5,"Superficie cosechada",IF(MiniDataset!G6&lt;MiniDataset!G5,"Rendimiento","Indeterminada"))))</f>
        <v>Rendimiento</v>
      </c>
    </row>
    <row r="7" customFormat="false" ht="15" hidden="false" customHeight="false" outlineLevel="0" collapsed="false">
      <c r="A7" s="6" t="str">
        <f aca="false">MiniDataset!A7</f>
        <v>Cuyo</v>
      </c>
      <c r="B7" s="6" t="str">
        <f aca="false">MiniDataset!B7</f>
        <v>avena</v>
      </c>
      <c r="C7" s="6" t="str">
        <f aca="false">MiniDataset!C7</f>
        <v>2021/2022</v>
      </c>
      <c r="D7" s="7" t="n">
        <f aca="false">IF(MiniDataset!D7&gt;0,(MiniDataset!D7-MiniDataset!E7)/MiniDataset!D7,0)</f>
        <v>0.918831168831169</v>
      </c>
      <c r="E7" s="8" t="b">
        <f aca="false">D7&gt;$O$2</f>
        <v>1</v>
      </c>
      <c r="F7" s="8" t="b">
        <f aca="false">MiniDataset!G7&lt;MiniDataset!H7</f>
        <v>1</v>
      </c>
      <c r="G7" s="8" t="b">
        <f aca="false">AND(MiniDataset!A6=MiniDataset!A7,MiniDataset!B6=MiniDataset!B7,MiniDataset!F7&lt;MiniDataset!F6)</f>
        <v>0</v>
      </c>
      <c r="H7" s="9" t="n">
        <f aca="false">IF(G7,H6+1,0)</f>
        <v>0</v>
      </c>
      <c r="I7" s="8" t="b">
        <f aca="false">H7&gt;=$O$3</f>
        <v>0</v>
      </c>
      <c r="J7" s="8" t="b">
        <f aca="false">OR(AND(E7,F7),AND(E7,I7),AND(F7,I7))</f>
        <v>1</v>
      </c>
      <c r="K7" s="9" t="str">
        <f aca="false">"P="&amp;IF(E7,"V","F")&amp;", Q="&amp;IF(F7,"V","F")&amp;", R="&amp;IF(I7,"V","F")&amp;" → "&amp;IF(J7,"FOCO CRÍTICO: se cumplen "&amp;_xlfn.TEXTJOIN(" y ",TRUE(),IF(E7,"P (superficie no cosechada &gt; "&amp;TEXT($O$2,"0%")&amp;")",""),IF(F7,"Q (rendimiento &lt; nacional)",""),IF(I7,"R ("&amp;H7&amp;" caídas consecutivas de producción)",""))&amp;".","No es foco crítico: "&amp;IF(E7+F7+I7=0,"no se cumple ninguna condición desfavorable.","solo se cumple "&amp;_xlfn.TEXTJOIN("",TRUE(),IF(E7,"P (superficie no cosechada)",""),IF(F7,"Q (rendimiento &lt; nacional)",""),IF(I7,"R (caídas consecutivas)",""))&amp;"."))</f>
        <v>P=V, Q=V, R=F → FOCO CRÍTICO: se cumplen P (superficie no cosechada &gt; 20%) y Q (rendimiento &lt; nacional).</v>
      </c>
      <c r="L7" s="9" t="str">
        <f aca="false">IF(NOT(G7),"—",IF(AND(MiniDataset!E7&lt;MiniDataset!E6,MiniDataset!G7&lt;MiniDataset!G6),"Ambas (superficie y rendimiento)",IF(MiniDataset!E7&lt;MiniDataset!E6,"Superficie cosechada",IF(MiniDataset!G7&lt;MiniDataset!G6,"Rendimiento","Indeterminada"))))</f>
        <v>—</v>
      </c>
    </row>
    <row r="8" customFormat="false" ht="15" hidden="false" customHeight="false" outlineLevel="0" collapsed="false">
      <c r="A8" s="6" t="str">
        <f aca="false">MiniDataset!A8</f>
        <v>Cuyo</v>
      </c>
      <c r="B8" s="6" t="str">
        <f aca="false">MiniDataset!B8</f>
        <v>avena</v>
      </c>
      <c r="C8" s="6" t="str">
        <f aca="false">MiniDataset!C8</f>
        <v>2022/2023</v>
      </c>
      <c r="D8" s="7" t="n">
        <f aca="false">IF(MiniDataset!D8&gt;0,(MiniDataset!D8-MiniDataset!E8)/MiniDataset!D8,0)</f>
        <v>0.950920245398773</v>
      </c>
      <c r="E8" s="8" t="b">
        <f aca="false">D8&gt;$O$2</f>
        <v>1</v>
      </c>
      <c r="F8" s="8" t="b">
        <f aca="false">MiniDataset!G8&lt;MiniDataset!H8</f>
        <v>1</v>
      </c>
      <c r="G8" s="8" t="b">
        <f aca="false">AND(MiniDataset!A7=MiniDataset!A8,MiniDataset!B7=MiniDataset!B8,MiniDataset!F8&lt;MiniDataset!F7)</f>
        <v>1</v>
      </c>
      <c r="H8" s="9" t="n">
        <f aca="false">IF(G8,H7+1,0)</f>
        <v>1</v>
      </c>
      <c r="I8" s="8" t="b">
        <f aca="false">H8&gt;=$O$3</f>
        <v>0</v>
      </c>
      <c r="J8" s="8" t="b">
        <f aca="false">OR(AND(E8,F8),AND(E8,I8),AND(F8,I8))</f>
        <v>1</v>
      </c>
      <c r="K8" s="9" t="str">
        <f aca="false">"P="&amp;IF(E8,"V","F")&amp;", Q="&amp;IF(F8,"V","F")&amp;", R="&amp;IF(I8,"V","F")&amp;" → "&amp;IF(J8,"FOCO CRÍTICO: se cumplen "&amp;_xlfn.TEXTJOIN(" y ",TRUE(),IF(E8,"P (superficie no cosechada &gt; "&amp;TEXT($O$2,"0%")&amp;")",""),IF(F8,"Q (rendimiento &lt; nacional)",""),IF(I8,"R ("&amp;H8&amp;" caídas consecutivas de producción)",""))&amp;".","No es foco crítico: "&amp;IF(E8+F8+I8=0,"no se cumple ninguna condición desfavorable.","solo se cumple "&amp;_xlfn.TEXTJOIN("",TRUE(),IF(E8,"P (superficie no cosechada)",""),IF(F8,"Q (rendimiento &lt; nacional)",""),IF(I8,"R (caídas consecutivas)",""))&amp;"."))</f>
        <v>P=V, Q=V, R=F → FOCO CRÍTICO: se cumplen P (superficie no cosechada &gt; 20%) y Q (rendimiento &lt; nacional).</v>
      </c>
      <c r="L8" s="9" t="str">
        <f aca="false">IF(NOT(G8),"—",IF(AND(MiniDataset!E8&lt;MiniDataset!E7,MiniDataset!G8&lt;MiniDataset!G7),"Ambas (superficie y rendimiento)",IF(MiniDataset!E8&lt;MiniDataset!E7,"Superficie cosechada",IF(MiniDataset!G8&lt;MiniDataset!G7,"Rendimiento","Indeterminada"))))</f>
        <v>Ambas (superficie y rendimiento)</v>
      </c>
    </row>
    <row r="9" customFormat="false" ht="15" hidden="false" customHeight="false" outlineLevel="0" collapsed="false">
      <c r="A9" s="6" t="str">
        <f aca="false">MiniDataset!A9</f>
        <v>Cuyo</v>
      </c>
      <c r="B9" s="6" t="str">
        <f aca="false">MiniDataset!B9</f>
        <v>avena</v>
      </c>
      <c r="C9" s="6" t="str">
        <f aca="false">MiniDataset!C9</f>
        <v>2023/2024</v>
      </c>
      <c r="D9" s="7" t="n">
        <f aca="false">IF(MiniDataset!D9&gt;0,(MiniDataset!D9-MiniDataset!E9)/MiniDataset!D9,0)</f>
        <v>0.865625</v>
      </c>
      <c r="E9" s="8" t="b">
        <f aca="false">D9&gt;$O$2</f>
        <v>1</v>
      </c>
      <c r="F9" s="8" t="b">
        <f aca="false">MiniDataset!G9&lt;MiniDataset!H9</f>
        <v>1</v>
      </c>
      <c r="G9" s="8" t="b">
        <f aca="false">AND(MiniDataset!A8=MiniDataset!A9,MiniDataset!B8=MiniDataset!B9,MiniDataset!F9&lt;MiniDataset!F8)</f>
        <v>0</v>
      </c>
      <c r="H9" s="9" t="n">
        <f aca="false">IF(G9,H8+1,0)</f>
        <v>0</v>
      </c>
      <c r="I9" s="8" t="b">
        <f aca="false">H9&gt;=$O$3</f>
        <v>0</v>
      </c>
      <c r="J9" s="8" t="b">
        <f aca="false">OR(AND(E9,F9),AND(E9,I9),AND(F9,I9))</f>
        <v>1</v>
      </c>
      <c r="K9" s="9" t="str">
        <f aca="false">"P="&amp;IF(E9,"V","F")&amp;", Q="&amp;IF(F9,"V","F")&amp;", R="&amp;IF(I9,"V","F")&amp;" → "&amp;IF(J9,"FOCO CRÍTICO: se cumplen "&amp;_xlfn.TEXTJOIN(" y ",TRUE(),IF(E9,"P (superficie no cosechada &gt; "&amp;TEXT($O$2,"0%")&amp;")",""),IF(F9,"Q (rendimiento &lt; nacional)",""),IF(I9,"R ("&amp;H9&amp;" caídas consecutivas de producción)",""))&amp;".","No es foco crítico: "&amp;IF(E9+F9+I9=0,"no se cumple ninguna condición desfavorable.","solo se cumple "&amp;_xlfn.TEXTJOIN("",TRUE(),IF(E9,"P (superficie no cosechada)",""),IF(F9,"Q (rendimiento &lt; nacional)",""),IF(I9,"R (caídas consecutivas)",""))&amp;"."))</f>
        <v>P=V, Q=V, R=F → FOCO CRÍTICO: se cumplen P (superficie no cosechada &gt; 20%) y Q (rendimiento &lt; nacional).</v>
      </c>
      <c r="L9" s="9" t="str">
        <f aca="false">IF(NOT(G9),"—",IF(AND(MiniDataset!E9&lt;MiniDataset!E8,MiniDataset!G9&lt;MiniDataset!G8),"Ambas (superficie y rendimiento)",IF(MiniDataset!E9&lt;MiniDataset!E8,"Superficie cosechada",IF(MiniDataset!G9&lt;MiniDataset!G8,"Rendimiento","Indeterminada"))))</f>
        <v>—</v>
      </c>
    </row>
    <row r="10" customFormat="false" ht="15" hidden="false" customHeight="false" outlineLevel="0" collapsed="false">
      <c r="A10" s="6" t="str">
        <f aca="false">MiniDataset!A10</f>
        <v>Cuyo</v>
      </c>
      <c r="B10" s="6" t="str">
        <f aca="false">MiniDataset!B10</f>
        <v>avena</v>
      </c>
      <c r="C10" s="6" t="str">
        <f aca="false">MiniDataset!C10</f>
        <v>2024/2025</v>
      </c>
      <c r="D10" s="7" t="n">
        <f aca="false">IF(MiniDataset!D10&gt;0,(MiniDataset!D10-MiniDataset!E10)/MiniDataset!D10,0)</f>
        <v>0.906060606060606</v>
      </c>
      <c r="E10" s="8" t="b">
        <f aca="false">D10&gt;$O$2</f>
        <v>1</v>
      </c>
      <c r="F10" s="8" t="b">
        <f aca="false">MiniDataset!G10&lt;MiniDataset!H10</f>
        <v>1</v>
      </c>
      <c r="G10" s="8" t="b">
        <f aca="false">AND(MiniDataset!A9=MiniDataset!A10,MiniDataset!B9=MiniDataset!B10,MiniDataset!F10&lt;MiniDataset!F9)</f>
        <v>1</v>
      </c>
      <c r="H10" s="9" t="n">
        <f aca="false">IF(G10,H9+1,0)</f>
        <v>1</v>
      </c>
      <c r="I10" s="8" t="b">
        <f aca="false">H10&gt;=$O$3</f>
        <v>0</v>
      </c>
      <c r="J10" s="8" t="b">
        <f aca="false">OR(AND(E10,F10),AND(E10,I10),AND(F10,I10))</f>
        <v>1</v>
      </c>
      <c r="K10" s="9" t="str">
        <f aca="false">"P="&amp;IF(E10,"V","F")&amp;", Q="&amp;IF(F10,"V","F")&amp;", R="&amp;IF(I10,"V","F")&amp;" → "&amp;IF(J10,"FOCO CRÍTICO: se cumplen "&amp;_xlfn.TEXTJOIN(" y ",TRUE(),IF(E10,"P (superficie no cosechada &gt; "&amp;TEXT($O$2,"0%")&amp;")",""),IF(F10,"Q (rendimiento &lt; nacional)",""),IF(I10,"R ("&amp;H10&amp;" caídas consecutivas de producción)",""))&amp;".","No es foco crítico: "&amp;IF(E10+F10+I10=0,"no se cumple ninguna condición desfavorable.","solo se cumple "&amp;_xlfn.TEXTJOIN("",TRUE(),IF(E10,"P (superficie no cosechada)",""),IF(F10,"Q (rendimiento &lt; nacional)",""),IF(I10,"R (caídas consecutivas)",""))&amp;"."))</f>
        <v>P=V, Q=V, R=F → FOCO CRÍTICO: se cumplen P (superficie no cosechada &gt; 20%) y Q (rendimiento &lt; nacional).</v>
      </c>
      <c r="L10" s="9" t="str">
        <f aca="false">IF(NOT(G10),"—",IF(AND(MiniDataset!E10&lt;MiniDataset!E9,MiniDataset!G10&lt;MiniDataset!G9),"Ambas (superficie y rendimiento)",IF(MiniDataset!E10&lt;MiniDataset!E9,"Superficie cosechada",IF(MiniDataset!G10&lt;MiniDataset!G9,"Rendimiento","Indeterminada"))))</f>
        <v>Superficie cosechada</v>
      </c>
    </row>
    <row r="11" customFormat="false" ht="15" hidden="false" customHeight="false" outlineLevel="0" collapsed="false">
      <c r="A11" s="6" t="str">
        <f aca="false">MiniDataset!A11</f>
        <v>NOA</v>
      </c>
      <c r="B11" s="6" t="str">
        <f aca="false">MiniDataset!B11</f>
        <v>lenteja</v>
      </c>
      <c r="C11" s="6" t="str">
        <f aca="false">MiniDataset!C11</f>
        <v>2019/2020</v>
      </c>
      <c r="D11" s="7" t="n">
        <f aca="false">IF(MiniDataset!D11&gt;0,(MiniDataset!D11-MiniDataset!E11)/MiniDataset!D11,0)</f>
        <v>0</v>
      </c>
      <c r="E11" s="8" t="b">
        <f aca="false">D11&gt;$O$2</f>
        <v>0</v>
      </c>
      <c r="F11" s="8" t="b">
        <f aca="false">MiniDataset!G11&lt;MiniDataset!H11</f>
        <v>0</v>
      </c>
      <c r="G11" s="8" t="b">
        <f aca="false">AND(MiniDataset!A10=MiniDataset!A11,MiniDataset!B10=MiniDataset!B11,MiniDataset!F11&lt;MiniDataset!F10)</f>
        <v>0</v>
      </c>
      <c r="H11" s="9" t="n">
        <f aca="false">IF(G11,H10+1,0)</f>
        <v>0</v>
      </c>
      <c r="I11" s="8" t="b">
        <f aca="false">H11&gt;=$O$3</f>
        <v>0</v>
      </c>
      <c r="J11" s="8" t="b">
        <f aca="false">OR(AND(E11,F11),AND(E11,I11),AND(F11,I11))</f>
        <v>0</v>
      </c>
      <c r="K11" s="9" t="str">
        <f aca="false">"P="&amp;IF(E11,"V","F")&amp;", Q="&amp;IF(F11,"V","F")&amp;", R="&amp;IF(I11,"V","F")&amp;" → "&amp;IF(J11,"FOCO CRÍTICO: se cumplen "&amp;_xlfn.TEXTJOIN(" y ",TRUE(),IF(E11,"P (superficie no cosechada &gt; "&amp;TEXT($O$2,"0%")&amp;")",""),IF(F11,"Q (rendimiento &lt; nacional)",""),IF(I11,"R ("&amp;H11&amp;" caídas consecutivas de producción)",""))&amp;".","No es foco crítico: "&amp;IF(E11+F11+I11=0,"no se cumple ninguna condición desfavorable.","solo se cumple "&amp;_xlfn.TEXTJOIN("",TRUE(),IF(E11,"P (superficie no cosechada)",""),IF(F11,"Q (rendimiento &lt; nacional)",""),IF(I11,"R (caídas consecutivas)",""))&amp;"."))</f>
        <v>P=F, Q=F, R=F → No es foco crítico: no se cumple ninguna condición desfavorable.</v>
      </c>
      <c r="L11" s="9" t="str">
        <f aca="false">IF(NOT(G11),"—",IF(AND(MiniDataset!E11&lt;MiniDataset!E10,MiniDataset!G11&lt;MiniDataset!G10),"Ambas (superficie y rendimiento)",IF(MiniDataset!E11&lt;MiniDataset!E10,"Superficie cosechada",IF(MiniDataset!G11&lt;MiniDataset!G10,"Rendimiento","Indeterminada"))))</f>
        <v>—</v>
      </c>
    </row>
    <row r="12" customFormat="false" ht="15" hidden="false" customHeight="false" outlineLevel="0" collapsed="false">
      <c r="A12" s="6" t="str">
        <f aca="false">MiniDataset!A12</f>
        <v>NOA</v>
      </c>
      <c r="B12" s="6" t="str">
        <f aca="false">MiniDataset!B12</f>
        <v>lenteja</v>
      </c>
      <c r="C12" s="6" t="str">
        <f aca="false">MiniDataset!C12</f>
        <v>2020/2021</v>
      </c>
      <c r="D12" s="7" t="n">
        <f aca="false">IF(MiniDataset!D12&gt;0,(MiniDataset!D12-MiniDataset!E12)/MiniDataset!D12,0)</f>
        <v>0.0440251572327044</v>
      </c>
      <c r="E12" s="8" t="b">
        <f aca="false">D12&gt;$O$2</f>
        <v>0</v>
      </c>
      <c r="F12" s="8" t="b">
        <f aca="false">MiniDataset!G12&lt;MiniDataset!H12</f>
        <v>1</v>
      </c>
      <c r="G12" s="8" t="b">
        <f aca="false">AND(MiniDataset!A11=MiniDataset!A12,MiniDataset!B11=MiniDataset!B12,MiniDataset!F12&lt;MiniDataset!F11)</f>
        <v>1</v>
      </c>
      <c r="H12" s="9" t="n">
        <f aca="false">IF(G12,H11+1,0)</f>
        <v>1</v>
      </c>
      <c r="I12" s="8" t="b">
        <f aca="false">H12&gt;=$O$3</f>
        <v>0</v>
      </c>
      <c r="J12" s="8" t="b">
        <f aca="false">OR(AND(E12,F12),AND(E12,I12),AND(F12,I12))</f>
        <v>0</v>
      </c>
      <c r="K12" s="9" t="str">
        <f aca="false">"P="&amp;IF(E12,"V","F")&amp;", Q="&amp;IF(F12,"V","F")&amp;", R="&amp;IF(I12,"V","F")&amp;" → "&amp;IF(J12,"FOCO CRÍTICO: se cumplen "&amp;_xlfn.TEXTJOIN(" y ",TRUE(),IF(E12,"P (superficie no cosechada &gt; "&amp;TEXT($O$2,"0%")&amp;")",""),IF(F12,"Q (rendimiento &lt; nacional)",""),IF(I12,"R ("&amp;H12&amp;" caídas consecutivas de producción)",""))&amp;".","No es foco crítico: "&amp;IF(E12+F12+I12=0,"no se cumple ninguna condición desfavorable.","solo se cumple "&amp;_xlfn.TEXTJOIN("",TRUE(),IF(E12,"P (superficie no cosechada)",""),IF(F12,"Q (rendimiento &lt; nacional)",""),IF(I12,"R (caídas consecutivas)",""))&amp;"."))</f>
        <v>P=F, Q=V, R=F → No es foco crítico: solo se cumple Q (rendimiento &lt; nacional).</v>
      </c>
      <c r="L12" s="9" t="str">
        <f aca="false">IF(NOT(G12),"—",IF(AND(MiniDataset!E12&lt;MiniDataset!E11,MiniDataset!G12&lt;MiniDataset!G11),"Ambas (superficie y rendimiento)",IF(MiniDataset!E12&lt;MiniDataset!E11,"Superficie cosechada",IF(MiniDataset!G12&lt;MiniDataset!G11,"Rendimiento","Indeterminada"))))</f>
        <v>Rendimiento</v>
      </c>
    </row>
    <row r="13" customFormat="false" ht="15" hidden="false" customHeight="false" outlineLevel="0" collapsed="false">
      <c r="A13" s="6" t="str">
        <f aca="false">MiniDataset!A13</f>
        <v>NOA</v>
      </c>
      <c r="B13" s="6" t="str">
        <f aca="false">MiniDataset!B13</f>
        <v>lenteja</v>
      </c>
      <c r="C13" s="6" t="str">
        <f aca="false">MiniDataset!C13</f>
        <v>2021/2022</v>
      </c>
      <c r="D13" s="7" t="n">
        <f aca="false">IF(MiniDataset!D13&gt;0,(MiniDataset!D13-MiniDataset!E13)/MiniDataset!D13,0)</f>
        <v>0</v>
      </c>
      <c r="E13" s="8" t="b">
        <f aca="false">D13&gt;$O$2</f>
        <v>0</v>
      </c>
      <c r="F13" s="8" t="b">
        <f aca="false">MiniDataset!G13&lt;MiniDataset!H13</f>
        <v>1</v>
      </c>
      <c r="G13" s="8" t="b">
        <f aca="false">AND(MiniDataset!A12=MiniDataset!A13,MiniDataset!B12=MiniDataset!B13,MiniDataset!F13&lt;MiniDataset!F12)</f>
        <v>1</v>
      </c>
      <c r="H13" s="9" t="n">
        <f aca="false">IF(G13,H12+1,0)</f>
        <v>2</v>
      </c>
      <c r="I13" s="8" t="b">
        <f aca="false">H13&gt;=$O$3</f>
        <v>0</v>
      </c>
      <c r="J13" s="8" t="b">
        <f aca="false">OR(AND(E13,F13),AND(E13,I13),AND(F13,I13))</f>
        <v>0</v>
      </c>
      <c r="K13" s="9" t="str">
        <f aca="false">"P="&amp;IF(E13,"V","F")&amp;", Q="&amp;IF(F13,"V","F")&amp;", R="&amp;IF(I13,"V","F")&amp;" → "&amp;IF(J13,"FOCO CRÍTICO: se cumplen "&amp;_xlfn.TEXTJOIN(" y ",TRUE(),IF(E13,"P (superficie no cosechada &gt; "&amp;TEXT($O$2,"0%")&amp;")",""),IF(F13,"Q (rendimiento &lt; nacional)",""),IF(I13,"R ("&amp;H13&amp;" caídas consecutivas de producción)",""))&amp;".","No es foco crítico: "&amp;IF(E13+F13+I13=0,"no se cumple ninguna condición desfavorable.","solo se cumple "&amp;_xlfn.TEXTJOIN("",TRUE(),IF(E13,"P (superficie no cosechada)",""),IF(F13,"Q (rendimiento &lt; nacional)",""),IF(I13,"R (caídas consecutivas)",""))&amp;"."))</f>
        <v>P=F, Q=V, R=F → No es foco crítico: solo se cumple Q (rendimiento &lt; nacional).</v>
      </c>
      <c r="L13" s="9" t="str">
        <f aca="false">IF(NOT(G13),"—",IF(AND(MiniDataset!E13&lt;MiniDataset!E12,MiniDataset!G13&lt;MiniDataset!G12),"Ambas (superficie y rendimiento)",IF(MiniDataset!E13&lt;MiniDataset!E12,"Superficie cosechada",IF(MiniDataset!G13&lt;MiniDataset!G12,"Rendimiento","Indeterminada"))))</f>
        <v>Ambas (superficie y rendimiento)</v>
      </c>
    </row>
    <row r="14" customFormat="false" ht="15" hidden="false" customHeight="false" outlineLevel="0" collapsed="false">
      <c r="A14" s="6" t="str">
        <f aca="false">MiniDataset!A14</f>
        <v>NOA</v>
      </c>
      <c r="B14" s="6" t="str">
        <f aca="false">MiniDataset!B14</f>
        <v>lenteja</v>
      </c>
      <c r="C14" s="6" t="str">
        <f aca="false">MiniDataset!C14</f>
        <v>2022/2023</v>
      </c>
      <c r="D14" s="7" t="n">
        <f aca="false">IF(MiniDataset!D14&gt;0,(MiniDataset!D14-MiniDataset!E14)/MiniDataset!D14,0)</f>
        <v>0</v>
      </c>
      <c r="E14" s="8" t="b">
        <f aca="false">D14&gt;$O$2</f>
        <v>0</v>
      </c>
      <c r="F14" s="8" t="b">
        <f aca="false">MiniDataset!G14&lt;MiniDataset!H14</f>
        <v>0</v>
      </c>
      <c r="G14" s="8" t="b">
        <f aca="false">AND(MiniDataset!A13=MiniDataset!A14,MiniDataset!B13=MiniDataset!B14,MiniDataset!F14&lt;MiniDataset!F13)</f>
        <v>1</v>
      </c>
      <c r="H14" s="9" t="n">
        <f aca="false">IF(G14,H13+1,0)</f>
        <v>3</v>
      </c>
      <c r="I14" s="8" t="b">
        <f aca="false">H14&gt;=$O$3</f>
        <v>1</v>
      </c>
      <c r="J14" s="8" t="b">
        <f aca="false">OR(AND(E14,F14),AND(E14,I14),AND(F14,I14))</f>
        <v>0</v>
      </c>
      <c r="K14" s="9" t="str">
        <f aca="false">"P="&amp;IF(E14,"V","F")&amp;", Q="&amp;IF(F14,"V","F")&amp;", R="&amp;IF(I14,"V","F")&amp;" → "&amp;IF(J14,"FOCO CRÍTICO: se cumplen "&amp;_xlfn.TEXTJOIN(" y ",TRUE(),IF(E14,"P (superficie no cosechada &gt; "&amp;TEXT($O$2,"0%")&amp;")",""),IF(F14,"Q (rendimiento &lt; nacional)",""),IF(I14,"R ("&amp;H14&amp;" caídas consecutivas de producción)",""))&amp;".","No es foco crítico: "&amp;IF(E14+F14+I14=0,"no se cumple ninguna condición desfavorable.","solo se cumple "&amp;_xlfn.TEXTJOIN("",TRUE(),IF(E14,"P (superficie no cosechada)",""),IF(F14,"Q (rendimiento &lt; nacional)",""),IF(I14,"R (caídas consecutivas)",""))&amp;"."))</f>
        <v>P=F, Q=F, R=V → No es foco crítico: solo se cumple R (caídas consecutivas).</v>
      </c>
      <c r="L14" s="9" t="str">
        <f aca="false">IF(NOT(G14),"—",IF(AND(MiniDataset!E14&lt;MiniDataset!E13,MiniDataset!G14&lt;MiniDataset!G13),"Ambas (superficie y rendimiento)",IF(MiniDataset!E14&lt;MiniDataset!E13,"Superficie cosechada",IF(MiniDataset!G14&lt;MiniDataset!G13,"Rendimiento","Indeterminada"))))</f>
        <v>Superficie cosechada</v>
      </c>
    </row>
    <row r="15" customFormat="false" ht="15" hidden="false" customHeight="false" outlineLevel="0" collapsed="false">
      <c r="A15" s="6" t="str">
        <f aca="false">MiniDataset!A15</f>
        <v>NOA</v>
      </c>
      <c r="B15" s="6" t="str">
        <f aca="false">MiniDataset!B15</f>
        <v>lenteja</v>
      </c>
      <c r="C15" s="6" t="str">
        <f aca="false">MiniDataset!C15</f>
        <v>2023/2024</v>
      </c>
      <c r="D15" s="7" t="n">
        <f aca="false">IF(MiniDataset!D15&gt;0,(MiniDataset!D15-MiniDataset!E15)/MiniDataset!D15,0)</f>
        <v>0</v>
      </c>
      <c r="E15" s="8" t="b">
        <f aca="false">D15&gt;$O$2</f>
        <v>0</v>
      </c>
      <c r="F15" s="8" t="b">
        <f aca="false">MiniDataset!G15&lt;MiniDataset!H15</f>
        <v>1</v>
      </c>
      <c r="G15" s="8" t="b">
        <f aca="false">AND(MiniDataset!A14=MiniDataset!A15,MiniDataset!B14=MiniDataset!B15,MiniDataset!F15&lt;MiniDataset!F14)</f>
        <v>1</v>
      </c>
      <c r="H15" s="9" t="n">
        <f aca="false">IF(G15,H14+1,0)</f>
        <v>4</v>
      </c>
      <c r="I15" s="8" t="b">
        <f aca="false">H15&gt;=$O$3</f>
        <v>1</v>
      </c>
      <c r="J15" s="8" t="b">
        <f aca="false">OR(AND(E15,F15),AND(E15,I15),AND(F15,I15))</f>
        <v>1</v>
      </c>
      <c r="K15" s="9" t="str">
        <f aca="false">"P="&amp;IF(E15,"V","F")&amp;", Q="&amp;IF(F15,"V","F")&amp;", R="&amp;IF(I15,"V","F")&amp;" → "&amp;IF(J15,"FOCO CRÍTICO: se cumplen "&amp;_xlfn.TEXTJOIN(" y ",TRUE(),IF(E15,"P (superficie no cosechada &gt; "&amp;TEXT($O$2,"0%")&amp;")",""),IF(F15,"Q (rendimiento &lt; nacional)",""),IF(I15,"R ("&amp;H15&amp;" caídas consecutivas de producción)",""))&amp;".","No es foco crítico: "&amp;IF(E15+F15+I15=0,"no se cumple ninguna condición desfavorable.","solo se cumple "&amp;_xlfn.TEXTJOIN("",TRUE(),IF(E15,"P (superficie no cosechada)",""),IF(F15,"Q (rendimiento &lt; nacional)",""),IF(I15,"R (caídas consecutivas)",""))&amp;"."))</f>
        <v>P=F, Q=V, R=V → FOCO CRÍTICO: se cumplen Q (rendimiento &lt; nacional) y R (4 caídas consecutivas de producción).</v>
      </c>
      <c r="L15" s="9" t="str">
        <f aca="false">IF(NOT(G15),"—",IF(AND(MiniDataset!E15&lt;MiniDataset!E14,MiniDataset!G15&lt;MiniDataset!G14),"Ambas (superficie y rendimiento)",IF(MiniDataset!E15&lt;MiniDataset!E14,"Superficie cosechada",IF(MiniDataset!G15&lt;MiniDataset!G14,"Rendimiento","Indeterminada"))))</f>
        <v>Superficie cosechada</v>
      </c>
    </row>
    <row r="16" customFormat="false" ht="15" hidden="false" customHeight="false" outlineLevel="0" collapsed="false">
      <c r="A16" s="6" t="str">
        <f aca="false">MiniDataset!A16</f>
        <v>NOA</v>
      </c>
      <c r="B16" s="6" t="str">
        <f aca="false">MiniDataset!B16</f>
        <v>lenteja</v>
      </c>
      <c r="C16" s="6" t="str">
        <f aca="false">MiniDataset!C16</f>
        <v>2024/2025</v>
      </c>
      <c r="D16" s="7" t="n">
        <f aca="false">IF(MiniDataset!D16&gt;0,(MiniDataset!D16-MiniDataset!E16)/MiniDataset!D16,0)</f>
        <v>0</v>
      </c>
      <c r="E16" s="8" t="b">
        <f aca="false">D16&gt;$O$2</f>
        <v>0</v>
      </c>
      <c r="F16" s="8" t="b">
        <f aca="false">MiniDataset!G16&lt;MiniDataset!H16</f>
        <v>1</v>
      </c>
      <c r="G16" s="8" t="b">
        <f aca="false">AND(MiniDataset!A15=MiniDataset!A16,MiniDataset!B15=MiniDataset!B16,MiniDataset!F16&lt;MiniDataset!F15)</f>
        <v>0</v>
      </c>
      <c r="H16" s="9" t="n">
        <f aca="false">IF(G16,H15+1,0)</f>
        <v>0</v>
      </c>
      <c r="I16" s="8" t="b">
        <f aca="false">H16&gt;=$O$3</f>
        <v>0</v>
      </c>
      <c r="J16" s="8" t="b">
        <f aca="false">OR(AND(E16,F16),AND(E16,I16),AND(F16,I16))</f>
        <v>0</v>
      </c>
      <c r="K16" s="9" t="str">
        <f aca="false">"P="&amp;IF(E16,"V","F")&amp;", Q="&amp;IF(F16,"V","F")&amp;", R="&amp;IF(I16,"V","F")&amp;" → "&amp;IF(J16,"FOCO CRÍTICO: se cumplen "&amp;_xlfn.TEXTJOIN(" y ",TRUE(),IF(E16,"P (superficie no cosechada &gt; "&amp;TEXT($O$2,"0%")&amp;")",""),IF(F16,"Q (rendimiento &lt; nacional)",""),IF(I16,"R ("&amp;H16&amp;" caídas consecutivas de producción)",""))&amp;".","No es foco crítico: "&amp;IF(E16+F16+I16=0,"no se cumple ninguna condición desfavorable.","solo se cumple "&amp;_xlfn.TEXTJOIN("",TRUE(),IF(E16,"P (superficie no cosechada)",""),IF(F16,"Q (rendimiento &lt; nacional)",""),IF(I16,"R (caídas consecutivas)",""))&amp;"."))</f>
        <v>P=F, Q=V, R=F → No es foco crítico: solo se cumple Q (rendimiento &lt; nacional).</v>
      </c>
      <c r="L16" s="9" t="str">
        <f aca="false">IF(NOT(G16),"—",IF(AND(MiniDataset!E16&lt;MiniDataset!E15,MiniDataset!G16&lt;MiniDataset!G15),"Ambas (superficie y rendimiento)",IF(MiniDataset!E16&lt;MiniDataset!E15,"Superficie cosechada",IF(MiniDataset!G16&lt;MiniDataset!G15,"Rendimiento","Indeterminada"))))</f>
        <v>—</v>
      </c>
    </row>
  </sheetData>
  <conditionalFormatting sqref="E2:F16">
    <cfRule type="cellIs" priority="2" operator="equal" aboveAverage="0" equalAverage="0" bottom="0" percent="0" rank="0" text="" dxfId="0">
      <formula>1</formula>
    </cfRule>
  </conditionalFormatting>
  <conditionalFormatting sqref="I2:J16">
    <cfRule type="cellIs" priority="3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3" min="12" style="0" width="12"/>
  </cols>
  <sheetData>
    <row r="1" customFormat="false" ht="15" hidden="false" customHeight="false" outlineLevel="0" collapsed="false">
      <c r="A1" s="13" t="s">
        <v>39</v>
      </c>
    </row>
    <row r="2" customFormat="false" ht="15" hidden="false" customHeight="false" outlineLevel="0" collapsed="false">
      <c r="A2" s="12" t="s">
        <v>40</v>
      </c>
    </row>
    <row r="4" customFormat="false" ht="31.5" hidden="false" customHeight="true" outlineLevel="0" collapsed="false">
      <c r="A4" s="1" t="s">
        <v>27</v>
      </c>
      <c r="B4" s="1" t="s">
        <v>28</v>
      </c>
      <c r="C4" s="1" t="s">
        <v>31</v>
      </c>
      <c r="D4" s="1" t="s">
        <v>41</v>
      </c>
      <c r="E4" s="1" t="s">
        <v>1</v>
      </c>
      <c r="F4" s="1" t="s">
        <v>0</v>
      </c>
      <c r="G4" s="1" t="s">
        <v>2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</row>
    <row r="5" customFormat="false" ht="15" hidden="false" customHeight="false" outlineLevel="0" collapsed="false">
      <c r="A5" s="14" t="b">
        <f aca="false">FALSE()</f>
        <v>0</v>
      </c>
      <c r="B5" s="14" t="b">
        <f aca="false">FALSE()</f>
        <v>0</v>
      </c>
      <c r="C5" s="14" t="b">
        <f aca="false">FALSE()</f>
        <v>0</v>
      </c>
      <c r="D5" s="15" t="b">
        <f aca="false">OR(AND(A5,B5),AND(A5,C5),AND(B5,C5))</f>
        <v>0</v>
      </c>
      <c r="E5" s="3" t="s">
        <v>25</v>
      </c>
      <c r="F5" s="3" t="s">
        <v>24</v>
      </c>
      <c r="G5" s="3" t="s">
        <v>17</v>
      </c>
      <c r="H5" s="16" t="n">
        <f aca="false">SUMPRODUCT((Clasificador!$B$2:$B$16=E5)*(Clasificador!$A$2:$A$16=F5)*(Clasificador!$C$2:$C$16=G5)*ROW(Clasificador!$A$2:$A$16))</f>
        <v>11</v>
      </c>
      <c r="I5" s="15" t="b">
        <f aca="false">INDEX(Clasificador!$E:$E,H5)</f>
        <v>0</v>
      </c>
      <c r="J5" s="15" t="b">
        <f aca="false">INDEX(Clasificador!$F:$F,H5)</f>
        <v>0</v>
      </c>
      <c r="K5" s="15" t="b">
        <f aca="false">INDEX(Clasificador!$I:$I,H5)</f>
        <v>0</v>
      </c>
      <c r="L5" s="15" t="b">
        <f aca="false">INDEX(Clasificador!$J:$J,H5)</f>
        <v>0</v>
      </c>
      <c r="M5" s="17" t="str">
        <f aca="false">IF(AND(I5=A5,J5=B5,K5=C5,L5=D5),"OK","REVISAR")</f>
        <v>OK</v>
      </c>
    </row>
    <row r="6" customFormat="false" ht="15" hidden="false" customHeight="false" outlineLevel="0" collapsed="false">
      <c r="A6" s="14" t="b">
        <f aca="false">FALSE()</f>
        <v>0</v>
      </c>
      <c r="B6" s="14" t="b">
        <f aca="false">FALSE()</f>
        <v>0</v>
      </c>
      <c r="C6" s="14" t="b">
        <f aca="false">TRUE()</f>
        <v>1</v>
      </c>
      <c r="D6" s="15" t="b">
        <f aca="false">OR(AND(A6,B6),AND(A6,C6),AND(B6,C6))</f>
        <v>0</v>
      </c>
      <c r="E6" s="3" t="s">
        <v>25</v>
      </c>
      <c r="F6" s="3" t="s">
        <v>24</v>
      </c>
      <c r="G6" s="3" t="s">
        <v>21</v>
      </c>
      <c r="H6" s="16" t="n">
        <f aca="false">SUMPRODUCT((Clasificador!$B$2:$B$16=E6)*(Clasificador!$A$2:$A$16=F6)*(Clasificador!$C$2:$C$16=G6)*ROW(Clasificador!$A$2:$A$16))</f>
        <v>14</v>
      </c>
      <c r="I6" s="15" t="b">
        <f aca="false">INDEX(Clasificador!$E:$E,H6)</f>
        <v>0</v>
      </c>
      <c r="J6" s="15" t="b">
        <f aca="false">INDEX(Clasificador!$F:$F,H6)</f>
        <v>0</v>
      </c>
      <c r="K6" s="15" t="b">
        <f aca="false">INDEX(Clasificador!$I:$I,H6)</f>
        <v>1</v>
      </c>
      <c r="L6" s="15" t="b">
        <f aca="false">INDEX(Clasificador!$J:$J,H6)</f>
        <v>0</v>
      </c>
      <c r="M6" s="17" t="str">
        <f aca="false">IF(AND(I6=A6,J6=B6,K6=C6,L6=D6),"OK","REVISAR")</f>
        <v>OK</v>
      </c>
    </row>
    <row r="7" customFormat="false" ht="15" hidden="false" customHeight="false" outlineLevel="0" collapsed="false">
      <c r="A7" s="14" t="b">
        <f aca="false">FALSE()</f>
        <v>0</v>
      </c>
      <c r="B7" s="14" t="b">
        <f aca="false">TRUE()</f>
        <v>1</v>
      </c>
      <c r="C7" s="14" t="b">
        <f aca="false">FALSE()</f>
        <v>0</v>
      </c>
      <c r="D7" s="15" t="b">
        <f aca="false">OR(AND(A7,B7),AND(A7,C7),AND(B7,C7))</f>
        <v>0</v>
      </c>
      <c r="E7" s="3" t="s">
        <v>25</v>
      </c>
      <c r="F7" s="3" t="s">
        <v>24</v>
      </c>
      <c r="G7" s="3" t="s">
        <v>19</v>
      </c>
      <c r="H7" s="16" t="n">
        <f aca="false">SUMPRODUCT((Clasificador!$B$2:$B$16=E7)*(Clasificador!$A$2:$A$16=F7)*(Clasificador!$C$2:$C$16=G7)*ROW(Clasificador!$A$2:$A$16))</f>
        <v>12</v>
      </c>
      <c r="I7" s="15" t="b">
        <f aca="false">INDEX(Clasificador!$E:$E,H7)</f>
        <v>0</v>
      </c>
      <c r="J7" s="15" t="b">
        <f aca="false">INDEX(Clasificador!$F:$F,H7)</f>
        <v>1</v>
      </c>
      <c r="K7" s="15" t="b">
        <f aca="false">INDEX(Clasificador!$I:$I,H7)</f>
        <v>0</v>
      </c>
      <c r="L7" s="15" t="b">
        <f aca="false">INDEX(Clasificador!$J:$J,H7)</f>
        <v>0</v>
      </c>
      <c r="M7" s="17" t="str">
        <f aca="false">IF(AND(I7=A7,J7=B7,K7=C7,L7=D7),"OK","REVISAR")</f>
        <v>OK</v>
      </c>
    </row>
    <row r="8" customFormat="false" ht="15" hidden="false" customHeight="false" outlineLevel="0" collapsed="false">
      <c r="A8" s="14" t="b">
        <f aca="false">FALSE()</f>
        <v>0</v>
      </c>
      <c r="B8" s="14" t="b">
        <f aca="false">TRUE()</f>
        <v>1</v>
      </c>
      <c r="C8" s="14" t="b">
        <f aca="false">TRUE()</f>
        <v>1</v>
      </c>
      <c r="D8" s="15" t="b">
        <f aca="false">OR(AND(A8,B8),AND(A8,C8),AND(B8,C8))</f>
        <v>1</v>
      </c>
      <c r="E8" s="3" t="s">
        <v>25</v>
      </c>
      <c r="F8" s="3" t="s">
        <v>24</v>
      </c>
      <c r="G8" s="3" t="s">
        <v>22</v>
      </c>
      <c r="H8" s="16" t="n">
        <f aca="false">SUMPRODUCT((Clasificador!$B$2:$B$16=E8)*(Clasificador!$A$2:$A$16=F8)*(Clasificador!$C$2:$C$16=G8)*ROW(Clasificador!$A$2:$A$16))</f>
        <v>15</v>
      </c>
      <c r="I8" s="15" t="b">
        <f aca="false">INDEX(Clasificador!$E:$E,H8)</f>
        <v>0</v>
      </c>
      <c r="J8" s="15" t="b">
        <f aca="false">INDEX(Clasificador!$F:$F,H8)</f>
        <v>1</v>
      </c>
      <c r="K8" s="15" t="b">
        <f aca="false">INDEX(Clasificador!$I:$I,H8)</f>
        <v>1</v>
      </c>
      <c r="L8" s="15" t="b">
        <f aca="false">INDEX(Clasificador!$J:$J,H8)</f>
        <v>1</v>
      </c>
      <c r="M8" s="17" t="str">
        <f aca="false">IF(AND(I8=A8,J8=B8,K8=C8,L8=D8),"OK","REVISAR")</f>
        <v>OK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14" t="b">
        <f aca="false">FALSE()</f>
        <v>0</v>
      </c>
      <c r="D9" s="15" t="b">
        <f aca="false">OR(AND(A9,B9),AND(A9,C9),AND(B9,C9))</f>
        <v>0</v>
      </c>
      <c r="E9" s="3" t="s">
        <v>10</v>
      </c>
      <c r="F9" s="3" t="s">
        <v>9</v>
      </c>
      <c r="G9" s="3" t="s">
        <v>11</v>
      </c>
      <c r="H9" s="16" t="n">
        <f aca="false">SUMPRODUCT((Clasificador!$B$2:$B$16=E9)*(Clasificador!$A$2:$A$16=F9)*(Clasificador!$C$2:$C$16=G9)*ROW(Clasificador!$A$2:$A$16))</f>
        <v>2</v>
      </c>
      <c r="I9" s="15" t="b">
        <f aca="false">INDEX(Clasificador!$E:$E,H9)</f>
        <v>1</v>
      </c>
      <c r="J9" s="15" t="b">
        <f aca="false">INDEX(Clasificador!$F:$F,H9)</f>
        <v>0</v>
      </c>
      <c r="K9" s="15" t="b">
        <f aca="false">INDEX(Clasificador!$I:$I,H9)</f>
        <v>0</v>
      </c>
      <c r="L9" s="15" t="b">
        <f aca="false">INDEX(Clasificador!$J:$J,H9)</f>
        <v>0</v>
      </c>
      <c r="M9" s="17" t="str">
        <f aca="false">IF(AND(I9=A9,J9=B9,K9=C9,L9=D9),"OK","REVISAR")</f>
        <v>OK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14" t="b">
        <f aca="false">TRUE()</f>
        <v>1</v>
      </c>
      <c r="D10" s="15" t="b">
        <f aca="false">OR(AND(A10,B10),AND(A10,C10),AND(B10,C10))</f>
        <v>1</v>
      </c>
      <c r="E10" s="3" t="s">
        <v>10</v>
      </c>
      <c r="F10" s="3" t="s">
        <v>9</v>
      </c>
      <c r="G10" s="3" t="s">
        <v>17</v>
      </c>
      <c r="H10" s="16" t="n">
        <f aca="false">SUMPRODUCT((Clasificador!$B$2:$B$16=E10)*(Clasificador!$A$2:$A$16=F10)*(Clasificador!$C$2:$C$16=G10)*ROW(Clasificador!$A$2:$A$16))</f>
        <v>5</v>
      </c>
      <c r="I10" s="15" t="b">
        <f aca="false">INDEX(Clasificador!$E:$E,H10)</f>
        <v>1</v>
      </c>
      <c r="J10" s="15" t="b">
        <f aca="false">INDEX(Clasificador!$F:$F,H10)</f>
        <v>0</v>
      </c>
      <c r="K10" s="15" t="b">
        <f aca="false">INDEX(Clasificador!$I:$I,H10)</f>
        <v>1</v>
      </c>
      <c r="L10" s="15" t="b">
        <f aca="false">INDEX(Clasificador!$J:$J,H10)</f>
        <v>1</v>
      </c>
      <c r="M10" s="17" t="str">
        <f aca="false">IF(AND(I10=A10,J10=B10,K10=C10,L10=D10),"OK","REVISAR")</f>
        <v>OK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TRUE()</f>
        <v>1</v>
      </c>
      <c r="C11" s="14" t="b">
        <f aca="false">FALSE()</f>
        <v>0</v>
      </c>
      <c r="D11" s="15" t="b">
        <f aca="false">OR(AND(A11,B11),AND(A11,C11),AND(B11,C11))</f>
        <v>1</v>
      </c>
      <c r="E11" s="3" t="s">
        <v>10</v>
      </c>
      <c r="F11" s="3" t="s">
        <v>9</v>
      </c>
      <c r="G11" s="3" t="s">
        <v>13</v>
      </c>
      <c r="H11" s="16" t="n">
        <f aca="false">SUMPRODUCT((Clasificador!$B$2:$B$16=E11)*(Clasificador!$A$2:$A$16=F11)*(Clasificador!$C$2:$C$16=G11)*ROW(Clasificador!$A$2:$A$16))</f>
        <v>3</v>
      </c>
      <c r="I11" s="15" t="b">
        <f aca="false">INDEX(Clasificador!$E:$E,H11)</f>
        <v>1</v>
      </c>
      <c r="J11" s="15" t="b">
        <f aca="false">INDEX(Clasificador!$F:$F,H11)</f>
        <v>1</v>
      </c>
      <c r="K11" s="15" t="b">
        <f aca="false">INDEX(Clasificador!$I:$I,H11)</f>
        <v>0</v>
      </c>
      <c r="L11" s="15" t="b">
        <f aca="false">INDEX(Clasificador!$J:$J,H11)</f>
        <v>1</v>
      </c>
      <c r="M11" s="17" t="str">
        <f aca="false">IF(AND(I11=A11,J11=B11,K11=C11,L11=D11),"OK","REVISAR")</f>
        <v>OK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TRUE()</f>
        <v>1</v>
      </c>
      <c r="C12" s="14" t="b">
        <f aca="false">TRUE()</f>
        <v>1</v>
      </c>
      <c r="D12" s="15" t="b">
        <f aca="false">OR(AND(A12,B12),AND(A12,C12),AND(B12,C12))</f>
        <v>1</v>
      </c>
      <c r="E12" s="3" t="s">
        <v>10</v>
      </c>
      <c r="F12" s="3" t="s">
        <v>9</v>
      </c>
      <c r="G12" s="3" t="s">
        <v>19</v>
      </c>
      <c r="H12" s="16" t="n">
        <f aca="false">SUMPRODUCT((Clasificador!$B$2:$B$16=E12)*(Clasificador!$A$2:$A$16=F12)*(Clasificador!$C$2:$C$16=G12)*ROW(Clasificador!$A$2:$A$16))</f>
        <v>6</v>
      </c>
      <c r="I12" s="15" t="b">
        <f aca="false">INDEX(Clasificador!$E:$E,H12)</f>
        <v>1</v>
      </c>
      <c r="J12" s="15" t="b">
        <f aca="false">INDEX(Clasificador!$F:$F,H12)</f>
        <v>1</v>
      </c>
      <c r="K12" s="15" t="b">
        <f aca="false">INDEX(Clasificador!$I:$I,H12)</f>
        <v>1</v>
      </c>
      <c r="L12" s="15" t="b">
        <f aca="false">INDEX(Clasificador!$J:$J,H12)</f>
        <v>1</v>
      </c>
      <c r="M12" s="17" t="str">
        <f aca="false">IF(AND(I12=A12,J12=B12,K12=C12,L12=D12),"OK","REVISAR")</f>
        <v>OK</v>
      </c>
    </row>
    <row r="14" customFormat="false" ht="15" hidden="false" customHeight="false" outlineLevel="0" collapsed="false">
      <c r="A14" s="2" t="s">
        <v>48</v>
      </c>
      <c r="B14" s="2" t="str">
        <f aca="false">COUNTIF(M5:M12,"OK")&amp;" de "&amp;ROWS(M5:M12)&amp;" combinaciones de la tabla de verdad verificadas con casos reales"</f>
        <v>8 de 8 combinaciones de la tabla de verdad verificadas con casos reales</v>
      </c>
    </row>
    <row r="17" customFormat="false" ht="15" hidden="false" customHeight="false" outlineLevel="0" collapsed="false">
      <c r="A17" s="18" t="s">
        <v>49</v>
      </c>
    </row>
    <row r="18" customFormat="false" ht="31.5" hidden="false" customHeight="true" outlineLevel="0" collapsed="false">
      <c r="A18" s="1" t="s">
        <v>0</v>
      </c>
      <c r="B18" s="1" t="s">
        <v>1</v>
      </c>
      <c r="C18" s="1" t="s">
        <v>2</v>
      </c>
      <c r="D18" s="1" t="s">
        <v>50</v>
      </c>
      <c r="E18" s="1" t="s">
        <v>51</v>
      </c>
      <c r="F18" s="1" t="s">
        <v>52</v>
      </c>
      <c r="G18" s="1" t="s">
        <v>53</v>
      </c>
      <c r="H18" s="1" t="s">
        <v>54</v>
      </c>
      <c r="I18" s="1" t="s">
        <v>55</v>
      </c>
      <c r="J18" s="1" t="s">
        <v>56</v>
      </c>
      <c r="K18" s="1" t="s">
        <v>57</v>
      </c>
      <c r="L18" s="1" t="s">
        <v>47</v>
      </c>
    </row>
    <row r="19" customFormat="false" ht="15" hidden="false" customHeight="false" outlineLevel="0" collapsed="false">
      <c r="A19" s="6" t="str">
        <f aca="false">Clasificador!A2</f>
        <v>Cuyo</v>
      </c>
      <c r="B19" s="6" t="str">
        <f aca="false">Clasificador!B2</f>
        <v>avena</v>
      </c>
      <c r="C19" s="6" t="str">
        <f aca="false">Clasificador!C2</f>
        <v>2015/2016</v>
      </c>
      <c r="D19" s="19" t="b">
        <f aca="false">Clasificador!E2</f>
        <v>1</v>
      </c>
      <c r="E19" s="19" t="b">
        <f aca="false">Clasificador!F2</f>
        <v>0</v>
      </c>
      <c r="F19" s="19" t="b">
        <f aca="false">Clasificador!I2</f>
        <v>0</v>
      </c>
      <c r="G19" s="19" t="b">
        <f aca="false">Clasificador!J2</f>
        <v>0</v>
      </c>
      <c r="H19" s="14" t="b">
        <f aca="false">TRUE()</f>
        <v>1</v>
      </c>
      <c r="I19" s="14" t="b">
        <f aca="false">FALSE()</f>
        <v>0</v>
      </c>
      <c r="J19" s="14" t="b">
        <f aca="false">FALSE()</f>
        <v>0</v>
      </c>
      <c r="K19" s="14" t="b">
        <f aca="false">FALSE()</f>
        <v>0</v>
      </c>
      <c r="L19" s="20" t="str">
        <f aca="false">IF(AND(D19=H19,E19=I19,F19=J19,G19=K19),"OK","REVISAR")</f>
        <v>OK</v>
      </c>
    </row>
    <row r="20" customFormat="false" ht="15" hidden="false" customHeight="false" outlineLevel="0" collapsed="false">
      <c r="A20" s="6" t="str">
        <f aca="false">Clasificador!A3</f>
        <v>Cuyo</v>
      </c>
      <c r="B20" s="6" t="str">
        <f aca="false">Clasificador!B3</f>
        <v>avena</v>
      </c>
      <c r="C20" s="6" t="str">
        <f aca="false">Clasificador!C3</f>
        <v>2017/2018</v>
      </c>
      <c r="D20" s="19" t="b">
        <f aca="false">Clasificador!E3</f>
        <v>1</v>
      </c>
      <c r="E20" s="19" t="b">
        <f aca="false">Clasificador!F3</f>
        <v>1</v>
      </c>
      <c r="F20" s="19" t="b">
        <f aca="false">Clasificador!I3</f>
        <v>0</v>
      </c>
      <c r="G20" s="19" t="b">
        <f aca="false">Clasificador!J3</f>
        <v>1</v>
      </c>
      <c r="H20" s="14" t="b">
        <f aca="false">TRUE()</f>
        <v>1</v>
      </c>
      <c r="I20" s="14" t="b">
        <f aca="false">TRUE()</f>
        <v>1</v>
      </c>
      <c r="J20" s="14" t="b">
        <f aca="false">FALSE()</f>
        <v>0</v>
      </c>
      <c r="K20" s="14" t="b">
        <f aca="false">TRUE()</f>
        <v>1</v>
      </c>
      <c r="L20" s="20" t="str">
        <f aca="false">IF(AND(D20=H20,E20=I20,F20=J20,G20=K20),"OK","REVISAR")</f>
        <v>OK</v>
      </c>
    </row>
    <row r="21" customFormat="false" ht="15" hidden="false" customHeight="false" outlineLevel="0" collapsed="false">
      <c r="A21" s="6" t="str">
        <f aca="false">Clasificador!A4</f>
        <v>Cuyo</v>
      </c>
      <c r="B21" s="6" t="str">
        <f aca="false">Clasificador!B4</f>
        <v>avena</v>
      </c>
      <c r="C21" s="6" t="str">
        <f aca="false">Clasificador!C4</f>
        <v>2018/2019</v>
      </c>
      <c r="D21" s="19" t="b">
        <f aca="false">Clasificador!E4</f>
        <v>1</v>
      </c>
      <c r="E21" s="19" t="b">
        <f aca="false">Clasificador!F4</f>
        <v>1</v>
      </c>
      <c r="F21" s="19" t="b">
        <f aca="false">Clasificador!I4</f>
        <v>0</v>
      </c>
      <c r="G21" s="19" t="b">
        <f aca="false">Clasificador!J4</f>
        <v>1</v>
      </c>
      <c r="H21" s="14" t="b">
        <f aca="false">TRUE()</f>
        <v>1</v>
      </c>
      <c r="I21" s="14" t="b">
        <f aca="false">TRUE()</f>
        <v>1</v>
      </c>
      <c r="J21" s="14" t="b">
        <f aca="false">FALSE()</f>
        <v>0</v>
      </c>
      <c r="K21" s="14" t="b">
        <f aca="false">TRUE()</f>
        <v>1</v>
      </c>
      <c r="L21" s="20" t="str">
        <f aca="false">IF(AND(D21=H21,E21=I21,F21=J21,G21=K21),"OK","REVISAR")</f>
        <v>OK</v>
      </c>
    </row>
    <row r="22" customFormat="false" ht="15" hidden="false" customHeight="false" outlineLevel="0" collapsed="false">
      <c r="A22" s="6" t="str">
        <f aca="false">Clasificador!A5</f>
        <v>Cuyo</v>
      </c>
      <c r="B22" s="6" t="str">
        <f aca="false">Clasificador!B5</f>
        <v>avena</v>
      </c>
      <c r="C22" s="6" t="str">
        <f aca="false">Clasificador!C5</f>
        <v>2019/2020</v>
      </c>
      <c r="D22" s="19" t="b">
        <f aca="false">Clasificador!E5</f>
        <v>1</v>
      </c>
      <c r="E22" s="19" t="b">
        <f aca="false">Clasificador!F5</f>
        <v>0</v>
      </c>
      <c r="F22" s="19" t="b">
        <f aca="false">Clasificador!I5</f>
        <v>1</v>
      </c>
      <c r="G22" s="19" t="b">
        <f aca="false">Clasificador!J5</f>
        <v>1</v>
      </c>
      <c r="H22" s="14" t="b">
        <f aca="false">TRUE()</f>
        <v>1</v>
      </c>
      <c r="I22" s="14" t="b">
        <f aca="false">FALSE()</f>
        <v>0</v>
      </c>
      <c r="J22" s="14" t="b">
        <f aca="false">TRUE()</f>
        <v>1</v>
      </c>
      <c r="K22" s="14" t="b">
        <f aca="false">TRUE()</f>
        <v>1</v>
      </c>
      <c r="L22" s="20" t="str">
        <f aca="false">IF(AND(D22=H22,E22=I22,F22=J22,G22=K22),"OK","REVISAR")</f>
        <v>OK</v>
      </c>
    </row>
    <row r="23" customFormat="false" ht="15" hidden="false" customHeight="false" outlineLevel="0" collapsed="false">
      <c r="A23" s="6" t="str">
        <f aca="false">Clasificador!A6</f>
        <v>Cuyo</v>
      </c>
      <c r="B23" s="6" t="str">
        <f aca="false">Clasificador!B6</f>
        <v>avena</v>
      </c>
      <c r="C23" s="6" t="str">
        <f aca="false">Clasificador!C6</f>
        <v>2020/2021</v>
      </c>
      <c r="D23" s="19" t="b">
        <f aca="false">Clasificador!E6</f>
        <v>1</v>
      </c>
      <c r="E23" s="19" t="b">
        <f aca="false">Clasificador!F6</f>
        <v>1</v>
      </c>
      <c r="F23" s="19" t="b">
        <f aca="false">Clasificador!I6</f>
        <v>1</v>
      </c>
      <c r="G23" s="19" t="b">
        <f aca="false">Clasificador!J6</f>
        <v>1</v>
      </c>
      <c r="H23" s="14" t="b">
        <f aca="false">TRUE()</f>
        <v>1</v>
      </c>
      <c r="I23" s="14" t="b">
        <f aca="false">TRUE()</f>
        <v>1</v>
      </c>
      <c r="J23" s="14" t="b">
        <f aca="false">TRUE()</f>
        <v>1</v>
      </c>
      <c r="K23" s="14" t="b">
        <f aca="false">TRUE()</f>
        <v>1</v>
      </c>
      <c r="L23" s="20" t="str">
        <f aca="false">IF(AND(D23=H23,E23=I23,F23=J23,G23=K23),"OK","REVISAR")</f>
        <v>OK</v>
      </c>
    </row>
    <row r="24" customFormat="false" ht="15" hidden="false" customHeight="false" outlineLevel="0" collapsed="false">
      <c r="A24" s="6" t="str">
        <f aca="false">Clasificador!A7</f>
        <v>Cuyo</v>
      </c>
      <c r="B24" s="6" t="str">
        <f aca="false">Clasificador!B7</f>
        <v>avena</v>
      </c>
      <c r="C24" s="6" t="str">
        <f aca="false">Clasificador!C7</f>
        <v>2021/2022</v>
      </c>
      <c r="D24" s="19" t="b">
        <f aca="false">Clasificador!E7</f>
        <v>1</v>
      </c>
      <c r="E24" s="19" t="b">
        <f aca="false">Clasificador!F7</f>
        <v>1</v>
      </c>
      <c r="F24" s="19" t="b">
        <f aca="false">Clasificador!I7</f>
        <v>0</v>
      </c>
      <c r="G24" s="19" t="b">
        <f aca="false">Clasificador!J7</f>
        <v>1</v>
      </c>
      <c r="H24" s="14" t="b">
        <f aca="false">TRUE()</f>
        <v>1</v>
      </c>
      <c r="I24" s="14" t="b">
        <f aca="false">TRUE()</f>
        <v>1</v>
      </c>
      <c r="J24" s="14" t="b">
        <f aca="false">FALSE()</f>
        <v>0</v>
      </c>
      <c r="K24" s="14" t="b">
        <f aca="false">TRUE()</f>
        <v>1</v>
      </c>
      <c r="L24" s="20" t="str">
        <f aca="false">IF(AND(D24=H24,E24=I24,F24=J24,G24=K24),"OK","REVISAR")</f>
        <v>OK</v>
      </c>
    </row>
    <row r="25" customFormat="false" ht="15" hidden="false" customHeight="false" outlineLevel="0" collapsed="false">
      <c r="A25" s="6" t="str">
        <f aca="false">Clasificador!A8</f>
        <v>Cuyo</v>
      </c>
      <c r="B25" s="6" t="str">
        <f aca="false">Clasificador!B8</f>
        <v>avena</v>
      </c>
      <c r="C25" s="6" t="str">
        <f aca="false">Clasificador!C8</f>
        <v>2022/2023</v>
      </c>
      <c r="D25" s="19" t="b">
        <f aca="false">Clasificador!E8</f>
        <v>1</v>
      </c>
      <c r="E25" s="19" t="b">
        <f aca="false">Clasificador!F8</f>
        <v>1</v>
      </c>
      <c r="F25" s="19" t="b">
        <f aca="false">Clasificador!I8</f>
        <v>0</v>
      </c>
      <c r="G25" s="19" t="b">
        <f aca="false">Clasificador!J8</f>
        <v>1</v>
      </c>
      <c r="H25" s="14" t="b">
        <f aca="false">TRUE()</f>
        <v>1</v>
      </c>
      <c r="I25" s="14" t="b">
        <f aca="false">TRUE()</f>
        <v>1</v>
      </c>
      <c r="J25" s="14" t="b">
        <f aca="false">FALSE()</f>
        <v>0</v>
      </c>
      <c r="K25" s="14" t="b">
        <f aca="false">TRUE()</f>
        <v>1</v>
      </c>
      <c r="L25" s="20" t="str">
        <f aca="false">IF(AND(D25=H25,E25=I25,F25=J25,G25=K25),"OK","REVISAR")</f>
        <v>OK</v>
      </c>
    </row>
    <row r="26" customFormat="false" ht="15" hidden="false" customHeight="false" outlineLevel="0" collapsed="false">
      <c r="A26" s="6" t="str">
        <f aca="false">Clasificador!A9</f>
        <v>Cuyo</v>
      </c>
      <c r="B26" s="6" t="str">
        <f aca="false">Clasificador!B9</f>
        <v>avena</v>
      </c>
      <c r="C26" s="6" t="str">
        <f aca="false">Clasificador!C9</f>
        <v>2023/2024</v>
      </c>
      <c r="D26" s="19" t="b">
        <f aca="false">Clasificador!E9</f>
        <v>1</v>
      </c>
      <c r="E26" s="19" t="b">
        <f aca="false">Clasificador!F9</f>
        <v>1</v>
      </c>
      <c r="F26" s="19" t="b">
        <f aca="false">Clasificador!I9</f>
        <v>0</v>
      </c>
      <c r="G26" s="19" t="b">
        <f aca="false">Clasificador!J9</f>
        <v>1</v>
      </c>
      <c r="H26" s="14" t="b">
        <f aca="false">TRUE()</f>
        <v>1</v>
      </c>
      <c r="I26" s="14" t="b">
        <f aca="false">TRUE()</f>
        <v>1</v>
      </c>
      <c r="J26" s="14" t="b">
        <f aca="false">FALSE()</f>
        <v>0</v>
      </c>
      <c r="K26" s="14" t="b">
        <f aca="false">TRUE()</f>
        <v>1</v>
      </c>
      <c r="L26" s="20" t="str">
        <f aca="false">IF(AND(D26=H26,E26=I26,F26=J26,G26=K26),"OK","REVISAR")</f>
        <v>OK</v>
      </c>
    </row>
    <row r="27" customFormat="false" ht="15" hidden="false" customHeight="false" outlineLevel="0" collapsed="false">
      <c r="A27" s="6" t="str">
        <f aca="false">Clasificador!A10</f>
        <v>Cuyo</v>
      </c>
      <c r="B27" s="6" t="str">
        <f aca="false">Clasificador!B10</f>
        <v>avena</v>
      </c>
      <c r="C27" s="6" t="str">
        <f aca="false">Clasificador!C10</f>
        <v>2024/2025</v>
      </c>
      <c r="D27" s="19" t="b">
        <f aca="false">Clasificador!E10</f>
        <v>1</v>
      </c>
      <c r="E27" s="19" t="b">
        <f aca="false">Clasificador!F10</f>
        <v>1</v>
      </c>
      <c r="F27" s="19" t="b">
        <f aca="false">Clasificador!I10</f>
        <v>0</v>
      </c>
      <c r="G27" s="19" t="b">
        <f aca="false">Clasificador!J10</f>
        <v>1</v>
      </c>
      <c r="H27" s="14" t="b">
        <f aca="false">TRUE()</f>
        <v>1</v>
      </c>
      <c r="I27" s="14" t="b">
        <f aca="false">TRUE()</f>
        <v>1</v>
      </c>
      <c r="J27" s="14" t="b">
        <f aca="false">FALSE()</f>
        <v>0</v>
      </c>
      <c r="K27" s="14" t="b">
        <f aca="false">TRUE()</f>
        <v>1</v>
      </c>
      <c r="L27" s="20" t="str">
        <f aca="false">IF(AND(D27=H27,E27=I27,F27=J27,G27=K27),"OK","REVISAR")</f>
        <v>OK</v>
      </c>
    </row>
    <row r="28" customFormat="false" ht="15" hidden="false" customHeight="false" outlineLevel="0" collapsed="false">
      <c r="A28" s="6" t="str">
        <f aca="false">Clasificador!A11</f>
        <v>NOA</v>
      </c>
      <c r="B28" s="6" t="str">
        <f aca="false">Clasificador!B11</f>
        <v>lenteja</v>
      </c>
      <c r="C28" s="6" t="str">
        <f aca="false">Clasificador!C11</f>
        <v>2019/2020</v>
      </c>
      <c r="D28" s="19" t="b">
        <f aca="false">Clasificador!E11</f>
        <v>0</v>
      </c>
      <c r="E28" s="19" t="b">
        <f aca="false">Clasificador!F11</f>
        <v>0</v>
      </c>
      <c r="F28" s="19" t="b">
        <f aca="false">Clasificador!I11</f>
        <v>0</v>
      </c>
      <c r="G28" s="19" t="b">
        <f aca="false">Clasificador!J11</f>
        <v>0</v>
      </c>
      <c r="H28" s="14" t="b">
        <f aca="false">FALSE()</f>
        <v>0</v>
      </c>
      <c r="I28" s="14" t="b">
        <f aca="false">FALSE()</f>
        <v>0</v>
      </c>
      <c r="J28" s="14" t="b">
        <f aca="false">FALSE()</f>
        <v>0</v>
      </c>
      <c r="K28" s="14" t="b">
        <f aca="false">FALSE()</f>
        <v>0</v>
      </c>
      <c r="L28" s="20" t="str">
        <f aca="false">IF(AND(D28=H28,E28=I28,F28=J28,G28=K28),"OK","REVISAR")</f>
        <v>OK</v>
      </c>
    </row>
    <row r="29" customFormat="false" ht="15" hidden="false" customHeight="false" outlineLevel="0" collapsed="false">
      <c r="A29" s="6" t="str">
        <f aca="false">Clasificador!A12</f>
        <v>NOA</v>
      </c>
      <c r="B29" s="6" t="str">
        <f aca="false">Clasificador!B12</f>
        <v>lenteja</v>
      </c>
      <c r="C29" s="6" t="str">
        <f aca="false">Clasificador!C12</f>
        <v>2020/2021</v>
      </c>
      <c r="D29" s="19" t="b">
        <f aca="false">Clasificador!E12</f>
        <v>0</v>
      </c>
      <c r="E29" s="19" t="b">
        <f aca="false">Clasificador!F12</f>
        <v>1</v>
      </c>
      <c r="F29" s="19" t="b">
        <f aca="false">Clasificador!I12</f>
        <v>0</v>
      </c>
      <c r="G29" s="19" t="b">
        <f aca="false">Clasificador!J12</f>
        <v>0</v>
      </c>
      <c r="H29" s="14" t="b">
        <f aca="false">FALSE()</f>
        <v>0</v>
      </c>
      <c r="I29" s="14" t="b">
        <f aca="false">TRUE()</f>
        <v>1</v>
      </c>
      <c r="J29" s="14" t="b">
        <f aca="false">FALSE()</f>
        <v>0</v>
      </c>
      <c r="K29" s="14" t="b">
        <f aca="false">FALSE()</f>
        <v>0</v>
      </c>
      <c r="L29" s="20" t="str">
        <f aca="false">IF(AND(D29=H29,E29=I29,F29=J29,G29=K29),"OK","REVISAR")</f>
        <v>OK</v>
      </c>
    </row>
    <row r="30" customFormat="false" ht="15" hidden="false" customHeight="false" outlineLevel="0" collapsed="false">
      <c r="A30" s="6" t="str">
        <f aca="false">Clasificador!A13</f>
        <v>NOA</v>
      </c>
      <c r="B30" s="6" t="str">
        <f aca="false">Clasificador!B13</f>
        <v>lenteja</v>
      </c>
      <c r="C30" s="6" t="str">
        <f aca="false">Clasificador!C13</f>
        <v>2021/2022</v>
      </c>
      <c r="D30" s="19" t="b">
        <f aca="false">Clasificador!E13</f>
        <v>0</v>
      </c>
      <c r="E30" s="19" t="b">
        <f aca="false">Clasificador!F13</f>
        <v>1</v>
      </c>
      <c r="F30" s="19" t="b">
        <f aca="false">Clasificador!I13</f>
        <v>0</v>
      </c>
      <c r="G30" s="19" t="b">
        <f aca="false">Clasificador!J13</f>
        <v>0</v>
      </c>
      <c r="H30" s="14" t="b">
        <f aca="false">FALSE()</f>
        <v>0</v>
      </c>
      <c r="I30" s="14" t="b">
        <f aca="false">TRUE()</f>
        <v>1</v>
      </c>
      <c r="J30" s="14" t="b">
        <f aca="false">FALSE()</f>
        <v>0</v>
      </c>
      <c r="K30" s="14" t="b">
        <f aca="false">FALSE()</f>
        <v>0</v>
      </c>
      <c r="L30" s="20" t="str">
        <f aca="false">IF(AND(D30=H30,E30=I30,F30=J30,G30=K30),"OK","REVISAR")</f>
        <v>OK</v>
      </c>
    </row>
    <row r="31" customFormat="false" ht="15" hidden="false" customHeight="false" outlineLevel="0" collapsed="false">
      <c r="A31" s="6" t="str">
        <f aca="false">Clasificador!A14</f>
        <v>NOA</v>
      </c>
      <c r="B31" s="6" t="str">
        <f aca="false">Clasificador!B14</f>
        <v>lenteja</v>
      </c>
      <c r="C31" s="6" t="str">
        <f aca="false">Clasificador!C14</f>
        <v>2022/2023</v>
      </c>
      <c r="D31" s="19" t="b">
        <f aca="false">Clasificador!E14</f>
        <v>0</v>
      </c>
      <c r="E31" s="19" t="b">
        <f aca="false">Clasificador!F14</f>
        <v>0</v>
      </c>
      <c r="F31" s="19" t="b">
        <f aca="false">Clasificador!I14</f>
        <v>1</v>
      </c>
      <c r="G31" s="19" t="b">
        <f aca="false">Clasificador!J14</f>
        <v>0</v>
      </c>
      <c r="H31" s="14" t="b">
        <f aca="false">FALSE()</f>
        <v>0</v>
      </c>
      <c r="I31" s="14" t="b">
        <f aca="false">FALSE()</f>
        <v>0</v>
      </c>
      <c r="J31" s="14" t="b">
        <f aca="false">TRUE()</f>
        <v>1</v>
      </c>
      <c r="K31" s="14" t="b">
        <f aca="false">FALSE()</f>
        <v>0</v>
      </c>
      <c r="L31" s="20" t="str">
        <f aca="false">IF(AND(D31=H31,E31=I31,F31=J31,G31=K31),"OK","REVISAR")</f>
        <v>OK</v>
      </c>
    </row>
    <row r="32" customFormat="false" ht="15" hidden="false" customHeight="false" outlineLevel="0" collapsed="false">
      <c r="A32" s="6" t="str">
        <f aca="false">Clasificador!A15</f>
        <v>NOA</v>
      </c>
      <c r="B32" s="6" t="str">
        <f aca="false">Clasificador!B15</f>
        <v>lenteja</v>
      </c>
      <c r="C32" s="6" t="str">
        <f aca="false">Clasificador!C15</f>
        <v>2023/2024</v>
      </c>
      <c r="D32" s="19" t="b">
        <f aca="false">Clasificador!E15</f>
        <v>0</v>
      </c>
      <c r="E32" s="19" t="b">
        <f aca="false">Clasificador!F15</f>
        <v>1</v>
      </c>
      <c r="F32" s="19" t="b">
        <f aca="false">Clasificador!I15</f>
        <v>1</v>
      </c>
      <c r="G32" s="19" t="b">
        <f aca="false">Clasificador!J15</f>
        <v>1</v>
      </c>
      <c r="H32" s="14" t="b">
        <f aca="false">FALSE()</f>
        <v>0</v>
      </c>
      <c r="I32" s="14" t="b">
        <f aca="false">TRUE()</f>
        <v>1</v>
      </c>
      <c r="J32" s="14" t="b">
        <f aca="false">TRUE()</f>
        <v>1</v>
      </c>
      <c r="K32" s="14" t="b">
        <f aca="false">TRUE()</f>
        <v>1</v>
      </c>
      <c r="L32" s="20" t="str">
        <f aca="false">IF(AND(D32=H32,E32=I32,F32=J32,G32=K32),"OK","REVISAR")</f>
        <v>OK</v>
      </c>
    </row>
    <row r="33" customFormat="false" ht="15" hidden="false" customHeight="false" outlineLevel="0" collapsed="false">
      <c r="A33" s="6" t="str">
        <f aca="false">Clasificador!A16</f>
        <v>NOA</v>
      </c>
      <c r="B33" s="6" t="str">
        <f aca="false">Clasificador!B16</f>
        <v>lenteja</v>
      </c>
      <c r="C33" s="6" t="str">
        <f aca="false">Clasificador!C16</f>
        <v>2024/2025</v>
      </c>
      <c r="D33" s="19" t="b">
        <f aca="false">Clasificador!E16</f>
        <v>0</v>
      </c>
      <c r="E33" s="19" t="b">
        <f aca="false">Clasificador!F16</f>
        <v>1</v>
      </c>
      <c r="F33" s="19" t="b">
        <f aca="false">Clasificador!I16</f>
        <v>0</v>
      </c>
      <c r="G33" s="19" t="b">
        <f aca="false">Clasificador!J16</f>
        <v>0</v>
      </c>
      <c r="H33" s="14" t="b">
        <f aca="false">FALSE()</f>
        <v>0</v>
      </c>
      <c r="I33" s="14" t="b">
        <f aca="false">TRUE()</f>
        <v>1</v>
      </c>
      <c r="J33" s="14" t="b">
        <f aca="false">FALSE()</f>
        <v>0</v>
      </c>
      <c r="K33" s="14" t="b">
        <f aca="false">FALSE()</f>
        <v>0</v>
      </c>
      <c r="L33" s="20" t="str">
        <f aca="false">IF(AND(D33=H33,E33=I33,F33=J33,G33=K33),"OK","REVISAR")</f>
        <v>OK</v>
      </c>
    </row>
    <row r="35" customFormat="false" ht="15" hidden="false" customHeight="false" outlineLevel="0" collapsed="false">
      <c r="A35" s="2" t="s">
        <v>48</v>
      </c>
      <c r="B35" s="2" t="str">
        <f aca="false">COUNTIF(L19:L33,"OK")&amp;" de "&amp;ROWS(L19:L33)&amp;" casos coinciden con el CSV original"</f>
        <v>15 de 15 casos coinciden con el CSV original</v>
      </c>
    </row>
    <row r="37" customFormat="false" ht="15" hidden="false" customHeight="false" outlineLevel="0" collapsed="false">
      <c r="A37" s="12" t="s">
        <v>58</v>
      </c>
    </row>
  </sheetData>
  <conditionalFormatting sqref="M5:M12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2">
      <formula>"REVISAR"</formula>
    </cfRule>
  </conditionalFormatting>
  <conditionalFormatting sqref="L19:L33">
    <cfRule type="cellIs" priority="4" operator="equal" aboveAverage="0" equalAverage="0" bottom="0" percent="0" rank="0" text="" dxfId="1">
      <formula>"OK"</formula>
    </cfRule>
    <cfRule type="cellIs" priority="5" operator="equal" aboveAverage="0" equalAverage="0" bottom="0" percent="0" rank="0" text="" dxfId="2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2026-10-21T02:26:21Z</dcterms:created>
  <dc:creator>openpyxl</dc:creator>
  <dc:description/>
  <dc:language>en-US</dc:language>
  <cp:lastModifiedBy/>
  <dcterms:modified xsi:type="dcterms:W3CDTF">2026-10-21T02:26:21Z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